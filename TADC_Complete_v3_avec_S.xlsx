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ekouar/Desktop/"/>
    </mc:Choice>
  </mc:AlternateContent>
  <xr:revisionPtr revIDLastSave="0" documentId="8_{50C03179-F452-5443-9550-EB29C4486BFE}" xr6:coauthVersionLast="47" xr6:coauthVersionMax="47" xr10:uidLastSave="{00000000-0000-0000-0000-000000000000}"/>
  <bookViews>
    <workbookView xWindow="0" yWindow="600" windowWidth="25420" windowHeight="13520" tabRatio="500" xr2:uid="{00000000-000D-0000-FFFF-FFFF00000000}"/>
  </bookViews>
  <sheets>
    <sheet name="RÉSUMÉ_Régression" sheetId="1" r:id="rId1"/>
    <sheet name="Mylotarg" sheetId="2" r:id="rId2"/>
    <sheet name="Adcetris" sheetId="3" r:id="rId3"/>
    <sheet name="Kadcyla" sheetId="4" r:id="rId4"/>
    <sheet name="Besponsa" sheetId="5" r:id="rId5"/>
    <sheet name="Polivy" sheetId="6" r:id="rId6"/>
    <sheet name="Padcev" sheetId="7" r:id="rId7"/>
    <sheet name="Enhertu" sheetId="8" r:id="rId8"/>
    <sheet name="Trodelvy" sheetId="9" r:id="rId9"/>
    <sheet name="Blenrep" sheetId="10" r:id="rId10"/>
    <sheet name="Zynlonta" sheetId="11" r:id="rId11"/>
    <sheet name="Tivdak" sheetId="12" r:id="rId12"/>
    <sheet name="Elahere" sheetId="13" r:id="rId13"/>
    <sheet name="Datroway" sheetId="14" r:id="rId14"/>
    <sheet name="Teliso-V" sheetId="15" r:id="rId1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5" l="1"/>
  <c r="J14" i="15"/>
  <c r="L13" i="15"/>
  <c r="M13" i="15" s="1"/>
  <c r="K13" i="15"/>
  <c r="N13" i="15" s="1"/>
  <c r="J13" i="15"/>
  <c r="K12" i="15"/>
  <c r="J12" i="15"/>
  <c r="K11" i="15"/>
  <c r="J11" i="15"/>
  <c r="L10" i="15"/>
  <c r="P10" i="15" s="1"/>
  <c r="K10" i="15"/>
  <c r="N10" i="15" s="1"/>
  <c r="J10" i="15"/>
  <c r="L9" i="15"/>
  <c r="M9" i="15" s="1"/>
  <c r="K9" i="15"/>
  <c r="J9" i="15"/>
  <c r="P8" i="15"/>
  <c r="L8" i="15"/>
  <c r="M8" i="15" s="1"/>
  <c r="K8" i="15"/>
  <c r="N8" i="15" s="1"/>
  <c r="J8" i="15"/>
  <c r="C5" i="15"/>
  <c r="L14" i="15" s="1"/>
  <c r="P14" i="14"/>
  <c r="N14" i="14"/>
  <c r="L14" i="14"/>
  <c r="M14" i="14" s="1"/>
  <c r="K14" i="14"/>
  <c r="J14" i="14"/>
  <c r="L13" i="14"/>
  <c r="P13" i="14" s="1"/>
  <c r="K13" i="14"/>
  <c r="J13" i="14"/>
  <c r="M12" i="14"/>
  <c r="L12" i="14"/>
  <c r="P12" i="14" s="1"/>
  <c r="K12" i="14"/>
  <c r="N12" i="14" s="1"/>
  <c r="J12" i="14"/>
  <c r="M11" i="14"/>
  <c r="L11" i="14"/>
  <c r="P11" i="14" s="1"/>
  <c r="K11" i="14"/>
  <c r="N11" i="14" s="1"/>
  <c r="J11" i="14"/>
  <c r="P10" i="14"/>
  <c r="N10" i="14"/>
  <c r="L10" i="14"/>
  <c r="M10" i="14" s="1"/>
  <c r="K10" i="14"/>
  <c r="J10" i="14"/>
  <c r="P9" i="14"/>
  <c r="L9" i="14"/>
  <c r="N9" i="14" s="1"/>
  <c r="K9" i="14"/>
  <c r="J9" i="14"/>
  <c r="P8" i="14"/>
  <c r="M8" i="14"/>
  <c r="L8" i="14"/>
  <c r="K8" i="14"/>
  <c r="N8" i="14" s="1"/>
  <c r="J8" i="14"/>
  <c r="C5" i="14"/>
  <c r="L14" i="13"/>
  <c r="K14" i="13"/>
  <c r="J14" i="13"/>
  <c r="P13" i="13"/>
  <c r="L13" i="13"/>
  <c r="M13" i="13" s="1"/>
  <c r="K13" i="13"/>
  <c r="N13" i="13" s="1"/>
  <c r="J13" i="13"/>
  <c r="K12" i="13"/>
  <c r="J12" i="13"/>
  <c r="N11" i="13"/>
  <c r="L11" i="13"/>
  <c r="P11" i="13" s="1"/>
  <c r="K11" i="13"/>
  <c r="J11" i="13"/>
  <c r="L10" i="13"/>
  <c r="K10" i="13"/>
  <c r="J10" i="13"/>
  <c r="P9" i="13"/>
  <c r="L9" i="13"/>
  <c r="M9" i="13" s="1"/>
  <c r="K9" i="13"/>
  <c r="N9" i="13" s="1"/>
  <c r="J9" i="13"/>
  <c r="K8" i="13"/>
  <c r="J8" i="13"/>
  <c r="C5" i="13"/>
  <c r="L12" i="13" s="1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C5" i="12"/>
  <c r="K15" i="11"/>
  <c r="J15" i="11"/>
  <c r="L14" i="11"/>
  <c r="P14" i="11" s="1"/>
  <c r="K14" i="11"/>
  <c r="N14" i="11" s="1"/>
  <c r="J14" i="11"/>
  <c r="L13" i="11"/>
  <c r="K13" i="11"/>
  <c r="J13" i="11"/>
  <c r="P12" i="11"/>
  <c r="L12" i="11"/>
  <c r="M12" i="11" s="1"/>
  <c r="K12" i="11"/>
  <c r="N12" i="11" s="1"/>
  <c r="J12" i="11"/>
  <c r="K11" i="11"/>
  <c r="J11" i="11"/>
  <c r="L10" i="11"/>
  <c r="P10" i="11" s="1"/>
  <c r="K10" i="11"/>
  <c r="N10" i="11" s="1"/>
  <c r="J10" i="11"/>
  <c r="L9" i="11"/>
  <c r="K9" i="11"/>
  <c r="J9" i="11"/>
  <c r="P8" i="11"/>
  <c r="L8" i="11"/>
  <c r="M8" i="11" s="1"/>
  <c r="K8" i="11"/>
  <c r="N8" i="11" s="1"/>
  <c r="J8" i="11"/>
  <c r="C5" i="11"/>
  <c r="L15" i="11" s="1"/>
  <c r="P14" i="10"/>
  <c r="N14" i="10"/>
  <c r="L14" i="10"/>
  <c r="M14" i="10" s="1"/>
  <c r="K14" i="10"/>
  <c r="J14" i="10"/>
  <c r="L13" i="10"/>
  <c r="K13" i="10"/>
  <c r="J13" i="10"/>
  <c r="P12" i="10"/>
  <c r="M12" i="10"/>
  <c r="L12" i="10"/>
  <c r="K12" i="10"/>
  <c r="N12" i="10" s="1"/>
  <c r="J12" i="10"/>
  <c r="M11" i="10"/>
  <c r="L11" i="10"/>
  <c r="P11" i="10" s="1"/>
  <c r="K11" i="10"/>
  <c r="N11" i="10" s="1"/>
  <c r="J11" i="10"/>
  <c r="P10" i="10"/>
  <c r="L10" i="10"/>
  <c r="M10" i="10" s="1"/>
  <c r="K10" i="10"/>
  <c r="N10" i="10" s="1"/>
  <c r="J10" i="10"/>
  <c r="L9" i="10"/>
  <c r="K9" i="10"/>
  <c r="J9" i="10"/>
  <c r="P8" i="10"/>
  <c r="M8" i="10"/>
  <c r="L8" i="10"/>
  <c r="K8" i="10"/>
  <c r="N8" i="10" s="1"/>
  <c r="J8" i="10"/>
  <c r="C5" i="10"/>
  <c r="L15" i="9"/>
  <c r="K15" i="9"/>
  <c r="J15" i="9"/>
  <c r="P14" i="9"/>
  <c r="L14" i="9"/>
  <c r="M14" i="9" s="1"/>
  <c r="K14" i="9"/>
  <c r="N14" i="9" s="1"/>
  <c r="J14" i="9"/>
  <c r="K13" i="9"/>
  <c r="J13" i="9"/>
  <c r="N12" i="9"/>
  <c r="L12" i="9"/>
  <c r="P12" i="9" s="1"/>
  <c r="K12" i="9"/>
  <c r="J12" i="9"/>
  <c r="N11" i="9"/>
  <c r="L11" i="9"/>
  <c r="K11" i="9"/>
  <c r="J11" i="9"/>
  <c r="P10" i="9"/>
  <c r="L10" i="9"/>
  <c r="M10" i="9" s="1"/>
  <c r="K10" i="9"/>
  <c r="J10" i="9"/>
  <c r="K9" i="9"/>
  <c r="J9" i="9"/>
  <c r="N8" i="9"/>
  <c r="L8" i="9"/>
  <c r="P8" i="9" s="1"/>
  <c r="K8" i="9"/>
  <c r="J8" i="9"/>
  <c r="C5" i="9"/>
  <c r="L13" i="9" s="1"/>
  <c r="M13" i="9" s="1"/>
  <c r="K17" i="8"/>
  <c r="J17" i="8"/>
  <c r="K16" i="8"/>
  <c r="J16" i="8"/>
  <c r="K15" i="8"/>
  <c r="J15" i="8"/>
  <c r="L14" i="8"/>
  <c r="K14" i="8"/>
  <c r="J14" i="8"/>
  <c r="K13" i="8"/>
  <c r="J13" i="8"/>
  <c r="K12" i="8"/>
  <c r="J12" i="8"/>
  <c r="K11" i="8"/>
  <c r="J11" i="8"/>
  <c r="P10" i="8"/>
  <c r="L10" i="8"/>
  <c r="K10" i="8"/>
  <c r="J10" i="8"/>
  <c r="K9" i="8"/>
  <c r="J9" i="8"/>
  <c r="K8" i="8"/>
  <c r="J8" i="8"/>
  <c r="C5" i="8"/>
  <c r="L16" i="8" s="1"/>
  <c r="P16" i="8" s="1"/>
  <c r="K15" i="7"/>
  <c r="J15" i="7"/>
  <c r="K14" i="7"/>
  <c r="J14" i="7"/>
  <c r="K13" i="7"/>
  <c r="J13" i="7"/>
  <c r="K12" i="7"/>
  <c r="J12" i="7"/>
  <c r="L11" i="7"/>
  <c r="K11" i="7"/>
  <c r="J11" i="7"/>
  <c r="K10" i="7"/>
  <c r="J10" i="7"/>
  <c r="K9" i="7"/>
  <c r="J9" i="7"/>
  <c r="K8" i="7"/>
  <c r="J8" i="7"/>
  <c r="C5" i="7"/>
  <c r="K13" i="6"/>
  <c r="J13" i="6"/>
  <c r="K12" i="6"/>
  <c r="J12" i="6"/>
  <c r="L11" i="6"/>
  <c r="K11" i="6"/>
  <c r="J11" i="6"/>
  <c r="K10" i="6"/>
  <c r="J10" i="6"/>
  <c r="K9" i="6"/>
  <c r="J9" i="6"/>
  <c r="K8" i="6"/>
  <c r="J8" i="6"/>
  <c r="C5" i="6"/>
  <c r="K14" i="5"/>
  <c r="J14" i="5"/>
  <c r="K13" i="5"/>
  <c r="J13" i="5"/>
  <c r="N12" i="5"/>
  <c r="L12" i="5"/>
  <c r="K12" i="5"/>
  <c r="J12" i="5"/>
  <c r="P11" i="5"/>
  <c r="K11" i="5"/>
  <c r="J11" i="5"/>
  <c r="K10" i="5"/>
  <c r="J10" i="5"/>
  <c r="K9" i="5"/>
  <c r="J9" i="5"/>
  <c r="L8" i="5"/>
  <c r="K8" i="5"/>
  <c r="J8" i="5"/>
  <c r="C5" i="5"/>
  <c r="L11" i="5" s="1"/>
  <c r="M11" i="5" s="1"/>
  <c r="M15" i="4"/>
  <c r="L15" i="4"/>
  <c r="P15" i="4" s="1"/>
  <c r="K15" i="4"/>
  <c r="N15" i="4" s="1"/>
  <c r="J15" i="4"/>
  <c r="P14" i="4"/>
  <c r="N14" i="4"/>
  <c r="L14" i="4"/>
  <c r="M14" i="4" s="1"/>
  <c r="K14" i="4"/>
  <c r="J14" i="4"/>
  <c r="P13" i="4"/>
  <c r="L13" i="4"/>
  <c r="K13" i="4"/>
  <c r="J13" i="4"/>
  <c r="P12" i="4"/>
  <c r="M12" i="4"/>
  <c r="L12" i="4"/>
  <c r="K12" i="4"/>
  <c r="N12" i="4" s="1"/>
  <c r="J12" i="4"/>
  <c r="M11" i="4"/>
  <c r="L11" i="4"/>
  <c r="P11" i="4" s="1"/>
  <c r="K11" i="4"/>
  <c r="N11" i="4" s="1"/>
  <c r="J11" i="4"/>
  <c r="P10" i="4"/>
  <c r="L10" i="4"/>
  <c r="M10" i="4" s="1"/>
  <c r="K10" i="4"/>
  <c r="N10" i="4" s="1"/>
  <c r="J10" i="4"/>
  <c r="L9" i="4"/>
  <c r="K9" i="4"/>
  <c r="J9" i="4"/>
  <c r="P8" i="4"/>
  <c r="M8" i="4"/>
  <c r="L8" i="4"/>
  <c r="K8" i="4"/>
  <c r="N8" i="4" s="1"/>
  <c r="J8" i="4"/>
  <c r="C5" i="4"/>
  <c r="L14" i="3"/>
  <c r="K14" i="3"/>
  <c r="J14" i="3"/>
  <c r="P13" i="3"/>
  <c r="L13" i="3"/>
  <c r="M13" i="3" s="1"/>
  <c r="K13" i="3"/>
  <c r="N13" i="3" s="1"/>
  <c r="J13" i="3"/>
  <c r="M12" i="3"/>
  <c r="K12" i="3"/>
  <c r="J12" i="3"/>
  <c r="N11" i="3"/>
  <c r="L11" i="3"/>
  <c r="P11" i="3" s="1"/>
  <c r="K11" i="3"/>
  <c r="J11" i="3"/>
  <c r="L10" i="3"/>
  <c r="K10" i="3"/>
  <c r="J10" i="3"/>
  <c r="L9" i="3"/>
  <c r="K9" i="3"/>
  <c r="J9" i="3"/>
  <c r="K8" i="3"/>
  <c r="J8" i="3"/>
  <c r="C5" i="3"/>
  <c r="L12" i="3" s="1"/>
  <c r="L15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C5" i="2"/>
  <c r="V107" i="1"/>
  <c r="Q107" i="1"/>
  <c r="P107" i="1"/>
  <c r="O107" i="1"/>
  <c r="N107" i="1"/>
  <c r="M107" i="1"/>
  <c r="L107" i="1"/>
  <c r="K107" i="1"/>
  <c r="V106" i="1"/>
  <c r="P106" i="1"/>
  <c r="O106" i="1"/>
  <c r="N106" i="1"/>
  <c r="M106" i="1"/>
  <c r="L106" i="1"/>
  <c r="K106" i="1"/>
  <c r="V105" i="1"/>
  <c r="P105" i="1"/>
  <c r="O105" i="1"/>
  <c r="N105" i="1"/>
  <c r="M105" i="1"/>
  <c r="L105" i="1"/>
  <c r="K105" i="1"/>
  <c r="V104" i="1"/>
  <c r="Q104" i="1"/>
  <c r="P104" i="1"/>
  <c r="O104" i="1"/>
  <c r="N104" i="1"/>
  <c r="M104" i="1"/>
  <c r="L104" i="1"/>
  <c r="K104" i="1"/>
  <c r="V103" i="1"/>
  <c r="P103" i="1"/>
  <c r="O103" i="1"/>
  <c r="N103" i="1"/>
  <c r="M103" i="1"/>
  <c r="L103" i="1"/>
  <c r="K103" i="1"/>
  <c r="Q103" i="1" s="1"/>
  <c r="R103" i="1" s="1"/>
  <c r="U103" i="1" s="1"/>
  <c r="V102" i="1"/>
  <c r="P102" i="1"/>
  <c r="O102" i="1"/>
  <c r="N102" i="1"/>
  <c r="M102" i="1"/>
  <c r="L102" i="1"/>
  <c r="K102" i="1"/>
  <c r="Q102" i="1" s="1"/>
  <c r="V101" i="1"/>
  <c r="P101" i="1"/>
  <c r="O101" i="1"/>
  <c r="N101" i="1"/>
  <c r="M101" i="1"/>
  <c r="L101" i="1"/>
  <c r="K101" i="1"/>
  <c r="Q101" i="1" s="1"/>
  <c r="V100" i="1"/>
  <c r="P100" i="1"/>
  <c r="O100" i="1"/>
  <c r="N100" i="1"/>
  <c r="M100" i="1"/>
  <c r="Q100" i="1" s="1"/>
  <c r="L100" i="1"/>
  <c r="K100" i="1"/>
  <c r="V99" i="1"/>
  <c r="P99" i="1"/>
  <c r="O99" i="1"/>
  <c r="N99" i="1"/>
  <c r="M99" i="1"/>
  <c r="Q99" i="1" s="1"/>
  <c r="L99" i="1"/>
  <c r="K99" i="1"/>
  <c r="V98" i="1"/>
  <c r="P98" i="1"/>
  <c r="O98" i="1"/>
  <c r="N98" i="1"/>
  <c r="M98" i="1"/>
  <c r="L98" i="1"/>
  <c r="K98" i="1"/>
  <c r="Y97" i="1"/>
  <c r="V97" i="1"/>
  <c r="P97" i="1"/>
  <c r="O97" i="1"/>
  <c r="N97" i="1"/>
  <c r="M97" i="1"/>
  <c r="L97" i="1"/>
  <c r="K97" i="1"/>
  <c r="Q97" i="1" s="1"/>
  <c r="R97" i="1" s="1"/>
  <c r="U97" i="1" s="1"/>
  <c r="V96" i="1"/>
  <c r="P96" i="1"/>
  <c r="O96" i="1"/>
  <c r="N96" i="1"/>
  <c r="M96" i="1"/>
  <c r="Q96" i="1" s="1"/>
  <c r="L96" i="1"/>
  <c r="K96" i="1"/>
  <c r="V95" i="1"/>
  <c r="P95" i="1"/>
  <c r="O95" i="1"/>
  <c r="N95" i="1"/>
  <c r="M95" i="1"/>
  <c r="L95" i="1"/>
  <c r="K95" i="1"/>
  <c r="V94" i="1"/>
  <c r="P94" i="1"/>
  <c r="O94" i="1"/>
  <c r="N94" i="1"/>
  <c r="M94" i="1"/>
  <c r="L94" i="1"/>
  <c r="K94" i="1"/>
  <c r="V93" i="1"/>
  <c r="Q93" i="1"/>
  <c r="Y93" i="1" s="1"/>
  <c r="P93" i="1"/>
  <c r="O93" i="1"/>
  <c r="N93" i="1"/>
  <c r="M93" i="1"/>
  <c r="L93" i="1"/>
  <c r="K93" i="1"/>
  <c r="V92" i="1"/>
  <c r="Q92" i="1"/>
  <c r="R92" i="1" s="1"/>
  <c r="U92" i="1" s="1"/>
  <c r="P92" i="1"/>
  <c r="O92" i="1"/>
  <c r="N92" i="1"/>
  <c r="M92" i="1"/>
  <c r="L92" i="1"/>
  <c r="K92" i="1"/>
  <c r="V91" i="1"/>
  <c r="P91" i="1"/>
  <c r="O91" i="1"/>
  <c r="N91" i="1"/>
  <c r="M91" i="1"/>
  <c r="L91" i="1"/>
  <c r="Q91" i="1" s="1"/>
  <c r="R91" i="1" s="1"/>
  <c r="U91" i="1" s="1"/>
  <c r="K91" i="1"/>
  <c r="V90" i="1"/>
  <c r="P90" i="1"/>
  <c r="O90" i="1"/>
  <c r="N90" i="1"/>
  <c r="M90" i="1"/>
  <c r="L90" i="1"/>
  <c r="K90" i="1"/>
  <c r="V89" i="1"/>
  <c r="P89" i="1"/>
  <c r="O89" i="1"/>
  <c r="N89" i="1"/>
  <c r="M89" i="1"/>
  <c r="L89" i="1"/>
  <c r="K89" i="1"/>
  <c r="V88" i="1"/>
  <c r="Q88" i="1"/>
  <c r="P88" i="1"/>
  <c r="O88" i="1"/>
  <c r="N88" i="1"/>
  <c r="M88" i="1"/>
  <c r="L88" i="1"/>
  <c r="K88" i="1"/>
  <c r="V87" i="1"/>
  <c r="P87" i="1"/>
  <c r="O87" i="1"/>
  <c r="N87" i="1"/>
  <c r="M87" i="1"/>
  <c r="L87" i="1"/>
  <c r="K87" i="1"/>
  <c r="Q87" i="1" s="1"/>
  <c r="V86" i="1"/>
  <c r="P86" i="1"/>
  <c r="O86" i="1"/>
  <c r="N86" i="1"/>
  <c r="M86" i="1"/>
  <c r="L86" i="1"/>
  <c r="K86" i="1"/>
  <c r="Q86" i="1" s="1"/>
  <c r="R86" i="1" s="1"/>
  <c r="U86" i="1" s="1"/>
  <c r="V85" i="1"/>
  <c r="P85" i="1"/>
  <c r="O85" i="1"/>
  <c r="N85" i="1"/>
  <c r="M85" i="1"/>
  <c r="L85" i="1"/>
  <c r="K85" i="1"/>
  <c r="Q85" i="1" s="1"/>
  <c r="V84" i="1"/>
  <c r="P84" i="1"/>
  <c r="O84" i="1"/>
  <c r="N84" i="1"/>
  <c r="Q84" i="1" s="1"/>
  <c r="M84" i="1"/>
  <c r="L84" i="1"/>
  <c r="K84" i="1"/>
  <c r="Y83" i="1"/>
  <c r="Z83" i="1" s="1"/>
  <c r="V83" i="1"/>
  <c r="Q83" i="1"/>
  <c r="R83" i="1" s="1"/>
  <c r="U83" i="1" s="1"/>
  <c r="P83" i="1"/>
  <c r="O83" i="1"/>
  <c r="N83" i="1"/>
  <c r="M83" i="1"/>
  <c r="L83" i="1"/>
  <c r="K83" i="1"/>
  <c r="V82" i="1"/>
  <c r="P82" i="1"/>
  <c r="O82" i="1"/>
  <c r="N82" i="1"/>
  <c r="M82" i="1"/>
  <c r="L82" i="1"/>
  <c r="K82" i="1"/>
  <c r="V81" i="1"/>
  <c r="P81" i="1"/>
  <c r="O81" i="1"/>
  <c r="N81" i="1"/>
  <c r="M81" i="1"/>
  <c r="L81" i="1"/>
  <c r="K81" i="1"/>
  <c r="V80" i="1"/>
  <c r="P80" i="1"/>
  <c r="O80" i="1"/>
  <c r="N80" i="1"/>
  <c r="M80" i="1"/>
  <c r="L80" i="1"/>
  <c r="K80" i="1"/>
  <c r="V79" i="1"/>
  <c r="P79" i="1"/>
  <c r="Q79" i="1" s="1"/>
  <c r="O79" i="1"/>
  <c r="N79" i="1"/>
  <c r="M79" i="1"/>
  <c r="L79" i="1"/>
  <c r="K79" i="1"/>
  <c r="V78" i="1"/>
  <c r="Q78" i="1"/>
  <c r="R78" i="1" s="1"/>
  <c r="U78" i="1" s="1"/>
  <c r="P78" i="1"/>
  <c r="O78" i="1"/>
  <c r="N78" i="1"/>
  <c r="M78" i="1"/>
  <c r="L78" i="1"/>
  <c r="K78" i="1"/>
  <c r="V77" i="1"/>
  <c r="P77" i="1"/>
  <c r="O77" i="1"/>
  <c r="N77" i="1"/>
  <c r="M77" i="1"/>
  <c r="L77" i="1"/>
  <c r="K77" i="1"/>
  <c r="Q77" i="1" s="1"/>
  <c r="V76" i="1"/>
  <c r="P76" i="1"/>
  <c r="O76" i="1"/>
  <c r="N76" i="1"/>
  <c r="M76" i="1"/>
  <c r="L76" i="1"/>
  <c r="Q76" i="1" s="1"/>
  <c r="R76" i="1" s="1"/>
  <c r="U76" i="1" s="1"/>
  <c r="K76" i="1"/>
  <c r="V75" i="1"/>
  <c r="Q75" i="1"/>
  <c r="Y75" i="1" s="1"/>
  <c r="P75" i="1"/>
  <c r="O75" i="1"/>
  <c r="N75" i="1"/>
  <c r="M75" i="1"/>
  <c r="L75" i="1"/>
  <c r="K75" i="1"/>
  <c r="V74" i="1"/>
  <c r="P74" i="1"/>
  <c r="O74" i="1"/>
  <c r="N74" i="1"/>
  <c r="M74" i="1"/>
  <c r="L74" i="1"/>
  <c r="K74" i="1"/>
  <c r="V73" i="1"/>
  <c r="U73" i="1"/>
  <c r="P73" i="1"/>
  <c r="O73" i="1"/>
  <c r="N73" i="1"/>
  <c r="M73" i="1"/>
  <c r="L73" i="1"/>
  <c r="K73" i="1"/>
  <c r="Q73" i="1" s="1"/>
  <c r="R73" i="1" s="1"/>
  <c r="V72" i="1"/>
  <c r="P72" i="1"/>
  <c r="O72" i="1"/>
  <c r="N72" i="1"/>
  <c r="M72" i="1"/>
  <c r="L72" i="1"/>
  <c r="K72" i="1"/>
  <c r="V71" i="1"/>
  <c r="Q71" i="1"/>
  <c r="P71" i="1"/>
  <c r="O71" i="1"/>
  <c r="N71" i="1"/>
  <c r="M71" i="1"/>
  <c r="L71" i="1"/>
  <c r="K71" i="1"/>
  <c r="V70" i="1"/>
  <c r="P70" i="1"/>
  <c r="O70" i="1"/>
  <c r="N70" i="1"/>
  <c r="M70" i="1"/>
  <c r="L70" i="1"/>
  <c r="K70" i="1"/>
  <c r="Q70" i="1" s="1"/>
  <c r="V69" i="1"/>
  <c r="P69" i="1"/>
  <c r="O69" i="1"/>
  <c r="N69" i="1"/>
  <c r="M69" i="1"/>
  <c r="L69" i="1"/>
  <c r="K69" i="1"/>
  <c r="Q69" i="1" s="1"/>
  <c r="V68" i="1"/>
  <c r="P68" i="1"/>
  <c r="O68" i="1"/>
  <c r="N68" i="1"/>
  <c r="M68" i="1"/>
  <c r="L68" i="1"/>
  <c r="K68" i="1"/>
  <c r="V67" i="1"/>
  <c r="P67" i="1"/>
  <c r="O67" i="1"/>
  <c r="N67" i="1"/>
  <c r="M67" i="1"/>
  <c r="L67" i="1"/>
  <c r="K67" i="1"/>
  <c r="Q67" i="1" s="1"/>
  <c r="V66" i="1"/>
  <c r="P66" i="1"/>
  <c r="O66" i="1"/>
  <c r="N66" i="1"/>
  <c r="M66" i="1"/>
  <c r="L66" i="1"/>
  <c r="K66" i="1"/>
  <c r="V65" i="1"/>
  <c r="P65" i="1"/>
  <c r="O65" i="1"/>
  <c r="N65" i="1"/>
  <c r="Q65" i="1" s="1"/>
  <c r="M65" i="1"/>
  <c r="L65" i="1"/>
  <c r="K65" i="1"/>
  <c r="V64" i="1"/>
  <c r="P64" i="1"/>
  <c r="O64" i="1"/>
  <c r="N64" i="1"/>
  <c r="M64" i="1"/>
  <c r="L64" i="1"/>
  <c r="K64" i="1"/>
  <c r="V63" i="1"/>
  <c r="P63" i="1"/>
  <c r="O63" i="1"/>
  <c r="N63" i="1"/>
  <c r="M63" i="1"/>
  <c r="L63" i="1"/>
  <c r="K63" i="1"/>
  <c r="V62" i="1"/>
  <c r="P62" i="1"/>
  <c r="O62" i="1"/>
  <c r="N62" i="1"/>
  <c r="M62" i="1"/>
  <c r="L62" i="1"/>
  <c r="K62" i="1"/>
  <c r="V61" i="1"/>
  <c r="Q61" i="1"/>
  <c r="Y61" i="1" s="1"/>
  <c r="P61" i="1"/>
  <c r="O61" i="1"/>
  <c r="N61" i="1"/>
  <c r="M61" i="1"/>
  <c r="L61" i="1"/>
  <c r="K61" i="1"/>
  <c r="V60" i="1"/>
  <c r="P60" i="1"/>
  <c r="O60" i="1"/>
  <c r="N60" i="1"/>
  <c r="M60" i="1"/>
  <c r="L60" i="1"/>
  <c r="K60" i="1"/>
  <c r="V59" i="1"/>
  <c r="P59" i="1"/>
  <c r="O59" i="1"/>
  <c r="N59" i="1"/>
  <c r="M59" i="1"/>
  <c r="L59" i="1"/>
  <c r="K59" i="1"/>
  <c r="Q59" i="1" s="1"/>
  <c r="V58" i="1"/>
  <c r="P58" i="1"/>
  <c r="O58" i="1"/>
  <c r="N58" i="1"/>
  <c r="M58" i="1"/>
  <c r="L58" i="1"/>
  <c r="K58" i="1"/>
  <c r="V57" i="1"/>
  <c r="P57" i="1"/>
  <c r="O57" i="1"/>
  <c r="Q57" i="1" s="1"/>
  <c r="N57" i="1"/>
  <c r="M57" i="1"/>
  <c r="L57" i="1"/>
  <c r="K57" i="1"/>
  <c r="V56" i="1"/>
  <c r="R56" i="1"/>
  <c r="U56" i="1" s="1"/>
  <c r="P56" i="1"/>
  <c r="O56" i="1"/>
  <c r="N56" i="1"/>
  <c r="M56" i="1"/>
  <c r="L56" i="1"/>
  <c r="K56" i="1"/>
  <c r="Q56" i="1" s="1"/>
  <c r="Y56" i="1" s="1"/>
  <c r="Z56" i="1" s="1"/>
  <c r="V55" i="1"/>
  <c r="P55" i="1"/>
  <c r="O55" i="1"/>
  <c r="N55" i="1"/>
  <c r="M55" i="1"/>
  <c r="L55" i="1"/>
  <c r="K55" i="1"/>
  <c r="Q55" i="1" s="1"/>
  <c r="V54" i="1"/>
  <c r="P54" i="1"/>
  <c r="O54" i="1"/>
  <c r="N54" i="1"/>
  <c r="M54" i="1"/>
  <c r="L54" i="1"/>
  <c r="K54" i="1"/>
  <c r="V53" i="1"/>
  <c r="P53" i="1"/>
  <c r="O53" i="1"/>
  <c r="N53" i="1"/>
  <c r="M53" i="1"/>
  <c r="L53" i="1"/>
  <c r="Q53" i="1" s="1"/>
  <c r="K53" i="1"/>
  <c r="V52" i="1"/>
  <c r="P52" i="1"/>
  <c r="O52" i="1"/>
  <c r="N52" i="1"/>
  <c r="M52" i="1"/>
  <c r="L52" i="1"/>
  <c r="K52" i="1"/>
  <c r="V51" i="1"/>
  <c r="Q51" i="1"/>
  <c r="Y51" i="1" s="1"/>
  <c r="P51" i="1"/>
  <c r="O51" i="1"/>
  <c r="N51" i="1"/>
  <c r="M51" i="1"/>
  <c r="L51" i="1"/>
  <c r="K51" i="1"/>
  <c r="V50" i="1"/>
  <c r="P50" i="1"/>
  <c r="O50" i="1"/>
  <c r="N50" i="1"/>
  <c r="M50" i="1"/>
  <c r="L50" i="1"/>
  <c r="K50" i="1"/>
  <c r="Q50" i="1" s="1"/>
  <c r="R50" i="1" s="1"/>
  <c r="U50" i="1" s="1"/>
  <c r="V49" i="1"/>
  <c r="P49" i="1"/>
  <c r="O49" i="1"/>
  <c r="N49" i="1"/>
  <c r="Q49" i="1" s="1"/>
  <c r="M49" i="1"/>
  <c r="L49" i="1"/>
  <c r="K49" i="1"/>
  <c r="V48" i="1"/>
  <c r="P48" i="1"/>
  <c r="O48" i="1"/>
  <c r="N48" i="1"/>
  <c r="M48" i="1"/>
  <c r="L48" i="1"/>
  <c r="K48" i="1"/>
  <c r="V47" i="1"/>
  <c r="P47" i="1"/>
  <c r="O47" i="1"/>
  <c r="N47" i="1"/>
  <c r="M47" i="1"/>
  <c r="L47" i="1"/>
  <c r="K47" i="1"/>
  <c r="V46" i="1"/>
  <c r="P46" i="1"/>
  <c r="O46" i="1"/>
  <c r="N46" i="1"/>
  <c r="M46" i="1"/>
  <c r="L46" i="1"/>
  <c r="K46" i="1"/>
  <c r="V45" i="1"/>
  <c r="P45" i="1"/>
  <c r="O45" i="1"/>
  <c r="N45" i="1"/>
  <c r="M45" i="1"/>
  <c r="L45" i="1"/>
  <c r="K45" i="1"/>
  <c r="Q45" i="1" s="1"/>
  <c r="V44" i="1"/>
  <c r="P44" i="1"/>
  <c r="O44" i="1"/>
  <c r="N44" i="1"/>
  <c r="M44" i="1"/>
  <c r="L44" i="1"/>
  <c r="K44" i="1"/>
  <c r="V43" i="1"/>
  <c r="P43" i="1"/>
  <c r="O43" i="1"/>
  <c r="Q43" i="1" s="1"/>
  <c r="N43" i="1"/>
  <c r="M43" i="1"/>
  <c r="L43" i="1"/>
  <c r="K43" i="1"/>
  <c r="V42" i="1"/>
  <c r="P42" i="1"/>
  <c r="O42" i="1"/>
  <c r="N42" i="1"/>
  <c r="M42" i="1"/>
  <c r="L42" i="1"/>
  <c r="K42" i="1"/>
  <c r="V41" i="1"/>
  <c r="Q41" i="1"/>
  <c r="P41" i="1"/>
  <c r="O41" i="1"/>
  <c r="N41" i="1"/>
  <c r="M41" i="1"/>
  <c r="L41" i="1"/>
  <c r="K41" i="1"/>
  <c r="V40" i="1"/>
  <c r="P40" i="1"/>
  <c r="O40" i="1"/>
  <c r="N40" i="1"/>
  <c r="M40" i="1"/>
  <c r="L40" i="1"/>
  <c r="K40" i="1"/>
  <c r="Q40" i="1" s="1"/>
  <c r="R40" i="1" s="1"/>
  <c r="U40" i="1" s="1"/>
  <c r="V39" i="1"/>
  <c r="P39" i="1"/>
  <c r="O39" i="1"/>
  <c r="N39" i="1"/>
  <c r="M39" i="1"/>
  <c r="L39" i="1"/>
  <c r="K39" i="1"/>
  <c r="V38" i="1"/>
  <c r="P38" i="1"/>
  <c r="O38" i="1"/>
  <c r="N38" i="1"/>
  <c r="M38" i="1"/>
  <c r="L38" i="1"/>
  <c r="K38" i="1"/>
  <c r="V37" i="1"/>
  <c r="Q37" i="1"/>
  <c r="Y37" i="1" s="1"/>
  <c r="P37" i="1"/>
  <c r="O37" i="1"/>
  <c r="N37" i="1"/>
  <c r="M37" i="1"/>
  <c r="L37" i="1"/>
  <c r="K37" i="1"/>
  <c r="V36" i="1"/>
  <c r="P36" i="1"/>
  <c r="O36" i="1"/>
  <c r="N36" i="1"/>
  <c r="M36" i="1"/>
  <c r="L36" i="1"/>
  <c r="K36" i="1"/>
  <c r="V35" i="1"/>
  <c r="P35" i="1"/>
  <c r="O35" i="1"/>
  <c r="N35" i="1"/>
  <c r="M35" i="1"/>
  <c r="L35" i="1"/>
  <c r="K35" i="1"/>
  <c r="Q35" i="1" s="1"/>
  <c r="V34" i="1"/>
  <c r="P34" i="1"/>
  <c r="O34" i="1"/>
  <c r="N34" i="1"/>
  <c r="M34" i="1"/>
  <c r="L34" i="1"/>
  <c r="K34" i="1"/>
  <c r="V33" i="1"/>
  <c r="P33" i="1"/>
  <c r="O33" i="1"/>
  <c r="N33" i="1"/>
  <c r="Q33" i="1" s="1"/>
  <c r="M33" i="1"/>
  <c r="L33" i="1"/>
  <c r="K33" i="1"/>
  <c r="V32" i="1"/>
  <c r="P32" i="1"/>
  <c r="O32" i="1"/>
  <c r="N32" i="1"/>
  <c r="M32" i="1"/>
  <c r="L32" i="1"/>
  <c r="K32" i="1"/>
  <c r="V31" i="1"/>
  <c r="P31" i="1"/>
  <c r="O31" i="1"/>
  <c r="N31" i="1"/>
  <c r="M31" i="1"/>
  <c r="L31" i="1"/>
  <c r="K31" i="1"/>
  <c r="V30" i="1"/>
  <c r="P30" i="1"/>
  <c r="O30" i="1"/>
  <c r="N30" i="1"/>
  <c r="M30" i="1"/>
  <c r="L30" i="1"/>
  <c r="K30" i="1"/>
  <c r="V29" i="1"/>
  <c r="P29" i="1"/>
  <c r="O29" i="1"/>
  <c r="N29" i="1"/>
  <c r="M29" i="1"/>
  <c r="L29" i="1"/>
  <c r="K29" i="1"/>
  <c r="Q29" i="1" s="1"/>
  <c r="V28" i="1"/>
  <c r="P28" i="1"/>
  <c r="O28" i="1"/>
  <c r="N28" i="1"/>
  <c r="M28" i="1"/>
  <c r="L28" i="1"/>
  <c r="K28" i="1"/>
  <c r="V27" i="1"/>
  <c r="P27" i="1"/>
  <c r="Q27" i="1" s="1"/>
  <c r="O27" i="1"/>
  <c r="N27" i="1"/>
  <c r="M27" i="1"/>
  <c r="L27" i="1"/>
  <c r="K27" i="1"/>
  <c r="V26" i="1"/>
  <c r="P26" i="1"/>
  <c r="O26" i="1"/>
  <c r="N26" i="1"/>
  <c r="M26" i="1"/>
  <c r="L26" i="1"/>
  <c r="K26" i="1"/>
  <c r="Q26" i="1" s="1"/>
  <c r="R26" i="1" s="1"/>
  <c r="U26" i="1" s="1"/>
  <c r="V25" i="1"/>
  <c r="Q25" i="1"/>
  <c r="P25" i="1"/>
  <c r="O25" i="1"/>
  <c r="N25" i="1"/>
  <c r="M25" i="1"/>
  <c r="L25" i="1"/>
  <c r="K25" i="1"/>
  <c r="V24" i="1"/>
  <c r="P24" i="1"/>
  <c r="O24" i="1"/>
  <c r="N24" i="1"/>
  <c r="M24" i="1"/>
  <c r="L24" i="1"/>
  <c r="K24" i="1"/>
  <c r="Q24" i="1" s="1"/>
  <c r="Y24" i="1" s="1"/>
  <c r="V23" i="1"/>
  <c r="P23" i="1"/>
  <c r="O23" i="1"/>
  <c r="N23" i="1"/>
  <c r="M23" i="1"/>
  <c r="L23" i="1"/>
  <c r="K23" i="1"/>
  <c r="V22" i="1"/>
  <c r="P22" i="1"/>
  <c r="O22" i="1"/>
  <c r="N22" i="1"/>
  <c r="M22" i="1"/>
  <c r="L22" i="1"/>
  <c r="K22" i="1"/>
  <c r="V21" i="1"/>
  <c r="P21" i="1"/>
  <c r="O21" i="1"/>
  <c r="N21" i="1"/>
  <c r="M21" i="1"/>
  <c r="L21" i="1"/>
  <c r="K21" i="1"/>
  <c r="Q21" i="1" s="1"/>
  <c r="V20" i="1"/>
  <c r="P20" i="1"/>
  <c r="O20" i="1"/>
  <c r="N20" i="1"/>
  <c r="M20" i="1"/>
  <c r="Q20" i="1" s="1"/>
  <c r="L20" i="1"/>
  <c r="K20" i="1"/>
  <c r="V19" i="1"/>
  <c r="P19" i="1"/>
  <c r="O19" i="1"/>
  <c r="N19" i="1"/>
  <c r="M19" i="1"/>
  <c r="L19" i="1"/>
  <c r="K19" i="1"/>
  <c r="Q19" i="1" s="1"/>
  <c r="V18" i="1"/>
  <c r="Q18" i="1"/>
  <c r="R18" i="1" s="1"/>
  <c r="U18" i="1" s="1"/>
  <c r="P18" i="1"/>
  <c r="O18" i="1"/>
  <c r="N18" i="1"/>
  <c r="M18" i="1"/>
  <c r="L18" i="1"/>
  <c r="K18" i="1"/>
  <c r="V17" i="1"/>
  <c r="P17" i="1"/>
  <c r="O17" i="1"/>
  <c r="N17" i="1"/>
  <c r="M17" i="1"/>
  <c r="L17" i="1"/>
  <c r="K17" i="1"/>
  <c r="Q17" i="1" s="1"/>
  <c r="V16" i="1"/>
  <c r="P16" i="1"/>
  <c r="O16" i="1"/>
  <c r="N16" i="1"/>
  <c r="Q16" i="1" s="1"/>
  <c r="M16" i="1"/>
  <c r="L16" i="1"/>
  <c r="K16" i="1"/>
  <c r="V15" i="1"/>
  <c r="Q15" i="1"/>
  <c r="R15" i="1" s="1"/>
  <c r="U15" i="1" s="1"/>
  <c r="P15" i="1"/>
  <c r="O15" i="1"/>
  <c r="N15" i="1"/>
  <c r="M15" i="1"/>
  <c r="L15" i="1"/>
  <c r="K15" i="1"/>
  <c r="Y14" i="1"/>
  <c r="Z14" i="1" s="1"/>
  <c r="V14" i="1"/>
  <c r="Q14" i="1"/>
  <c r="R14" i="1" s="1"/>
  <c r="U14" i="1" s="1"/>
  <c r="P14" i="1"/>
  <c r="O14" i="1"/>
  <c r="N14" i="1"/>
  <c r="M14" i="1"/>
  <c r="L14" i="1"/>
  <c r="K14" i="1"/>
  <c r="V13" i="1"/>
  <c r="P13" i="1"/>
  <c r="O13" i="1"/>
  <c r="N13" i="1"/>
  <c r="M13" i="1"/>
  <c r="L13" i="1"/>
  <c r="Q13" i="1" s="1"/>
  <c r="K13" i="1"/>
  <c r="V12" i="1"/>
  <c r="P12" i="1"/>
  <c r="Q12" i="1" s="1"/>
  <c r="O12" i="1"/>
  <c r="N12" i="1"/>
  <c r="M12" i="1"/>
  <c r="L12" i="1"/>
  <c r="K12" i="1"/>
  <c r="V11" i="1"/>
  <c r="P11" i="1"/>
  <c r="O11" i="1"/>
  <c r="N11" i="1"/>
  <c r="M11" i="1"/>
  <c r="L11" i="1"/>
  <c r="K11" i="1"/>
  <c r="Q11" i="1" s="1"/>
  <c r="V10" i="1"/>
  <c r="P10" i="1"/>
  <c r="O10" i="1"/>
  <c r="N10" i="1"/>
  <c r="M10" i="1"/>
  <c r="Q10" i="1" s="1"/>
  <c r="L10" i="1"/>
  <c r="K10" i="1"/>
  <c r="V9" i="1"/>
  <c r="Q9" i="1"/>
  <c r="Y9" i="1" s="1"/>
  <c r="P9" i="1"/>
  <c r="O9" i="1"/>
  <c r="N9" i="1"/>
  <c r="M9" i="1"/>
  <c r="L9" i="1"/>
  <c r="K9" i="1"/>
  <c r="V8" i="1"/>
  <c r="P8" i="1"/>
  <c r="O8" i="1"/>
  <c r="N8" i="1"/>
  <c r="M8" i="1"/>
  <c r="Q8" i="1" s="1"/>
  <c r="L8" i="1"/>
  <c r="K8" i="1"/>
  <c r="V7" i="1"/>
  <c r="P7" i="1"/>
  <c r="O7" i="1"/>
  <c r="N7" i="1"/>
  <c r="M7" i="1"/>
  <c r="L7" i="1"/>
  <c r="K7" i="1"/>
  <c r="Q7" i="1" s="1"/>
  <c r="V6" i="1"/>
  <c r="P6" i="1"/>
  <c r="O6" i="1"/>
  <c r="N6" i="1"/>
  <c r="M6" i="1"/>
  <c r="Q6" i="1" s="1"/>
  <c r="L6" i="1"/>
  <c r="K6" i="1"/>
  <c r="V5" i="1"/>
  <c r="P5" i="1"/>
  <c r="O5" i="1"/>
  <c r="N5" i="1"/>
  <c r="M5" i="1"/>
  <c r="L5" i="1"/>
  <c r="K5" i="1"/>
  <c r="Q5" i="1" s="1"/>
  <c r="V4" i="1"/>
  <c r="P4" i="1"/>
  <c r="O4" i="1"/>
  <c r="N4" i="1"/>
  <c r="M4" i="1"/>
  <c r="Q4" i="1" s="1"/>
  <c r="L4" i="1"/>
  <c r="K4" i="1"/>
  <c r="V3" i="1"/>
  <c r="Q3" i="1"/>
  <c r="Y3" i="1" s="1"/>
  <c r="P3" i="1"/>
  <c r="O3" i="1"/>
  <c r="N3" i="1"/>
  <c r="M3" i="1"/>
  <c r="L3" i="1"/>
  <c r="K3" i="1"/>
  <c r="Y2" i="1"/>
  <c r="V2" i="1"/>
  <c r="Q2" i="1"/>
  <c r="R2" i="1" s="1"/>
  <c r="U2" i="1" s="1"/>
  <c r="P2" i="1"/>
  <c r="O2" i="1"/>
  <c r="N2" i="1"/>
  <c r="M2" i="1"/>
  <c r="L2" i="1"/>
  <c r="K2" i="1"/>
  <c r="R10" i="1" l="1"/>
  <c r="U10" i="1" s="1"/>
  <c r="Y10" i="1"/>
  <c r="Z10" i="1" s="1"/>
  <c r="Y19" i="1"/>
  <c r="R19" i="1"/>
  <c r="U19" i="1" s="1"/>
  <c r="Y21" i="1"/>
  <c r="Z21" i="1" s="1"/>
  <c r="R21" i="1"/>
  <c r="U21" i="1" s="1"/>
  <c r="Y27" i="1"/>
  <c r="Z27" i="1" s="1"/>
  <c r="R27" i="1"/>
  <c r="U27" i="1" s="1"/>
  <c r="Y33" i="1"/>
  <c r="R33" i="1"/>
  <c r="U33" i="1" s="1"/>
  <c r="Y67" i="1"/>
  <c r="R67" i="1"/>
  <c r="U67" i="1" s="1"/>
  <c r="R84" i="1"/>
  <c r="U84" i="1" s="1"/>
  <c r="Y84" i="1"/>
  <c r="Y29" i="1"/>
  <c r="Z29" i="1" s="1"/>
  <c r="R29" i="1"/>
  <c r="U29" i="1" s="1"/>
  <c r="Y43" i="1"/>
  <c r="R43" i="1"/>
  <c r="U43" i="1" s="1"/>
  <c r="Y77" i="1"/>
  <c r="R77" i="1"/>
  <c r="U77" i="1" s="1"/>
  <c r="Y49" i="1"/>
  <c r="Z49" i="1" s="1"/>
  <c r="R49" i="1"/>
  <c r="U49" i="1" s="1"/>
  <c r="R87" i="1"/>
  <c r="U87" i="1" s="1"/>
  <c r="Y87" i="1"/>
  <c r="R7" i="1"/>
  <c r="U7" i="1" s="1"/>
  <c r="Y7" i="1"/>
  <c r="Z7" i="1" s="1"/>
  <c r="R100" i="1"/>
  <c r="U100" i="1" s="1"/>
  <c r="Y100" i="1"/>
  <c r="Z100" i="1" s="1"/>
  <c r="Z24" i="1"/>
  <c r="Y53" i="1"/>
  <c r="R53" i="1"/>
  <c r="U53" i="1" s="1"/>
  <c r="Y57" i="1"/>
  <c r="R57" i="1"/>
  <c r="U57" i="1" s="1"/>
  <c r="Y65" i="1"/>
  <c r="R65" i="1"/>
  <c r="U65" i="1" s="1"/>
  <c r="R70" i="1"/>
  <c r="U70" i="1" s="1"/>
  <c r="Y70" i="1"/>
  <c r="Z70" i="1" s="1"/>
  <c r="R79" i="1"/>
  <c r="U79" i="1" s="1"/>
  <c r="Y79" i="1"/>
  <c r="Z79" i="1" s="1"/>
  <c r="R12" i="1"/>
  <c r="U12" i="1" s="1"/>
  <c r="Y12" i="1"/>
  <c r="Z12" i="1" s="1"/>
  <c r="Z2" i="1"/>
  <c r="Y5" i="1"/>
  <c r="R5" i="1"/>
  <c r="U5" i="1" s="1"/>
  <c r="R20" i="1"/>
  <c r="U20" i="1" s="1"/>
  <c r="Y20" i="1"/>
  <c r="R6" i="1"/>
  <c r="U6" i="1" s="1"/>
  <c r="Y6" i="1"/>
  <c r="Z6" i="1" s="1"/>
  <c r="Y99" i="1"/>
  <c r="R99" i="1"/>
  <c r="U99" i="1" s="1"/>
  <c r="Z9" i="1"/>
  <c r="Y13" i="1"/>
  <c r="Z13" i="1" s="1"/>
  <c r="R13" i="1"/>
  <c r="U13" i="1" s="1"/>
  <c r="Y4" i="1"/>
  <c r="Z4" i="1" s="1"/>
  <c r="R4" i="1"/>
  <c r="U4" i="1" s="1"/>
  <c r="R11" i="1"/>
  <c r="U11" i="1" s="1"/>
  <c r="Y11" i="1"/>
  <c r="Z11" i="1" s="1"/>
  <c r="Y69" i="1"/>
  <c r="R69" i="1"/>
  <c r="U69" i="1" s="1"/>
  <c r="R8" i="1"/>
  <c r="U8" i="1" s="1"/>
  <c r="Y8" i="1"/>
  <c r="R17" i="1"/>
  <c r="U17" i="1" s="1"/>
  <c r="Y17" i="1"/>
  <c r="Y35" i="1"/>
  <c r="R35" i="1"/>
  <c r="U35" i="1" s="1"/>
  <c r="Y45" i="1"/>
  <c r="R45" i="1"/>
  <c r="U45" i="1" s="1"/>
  <c r="R16" i="1"/>
  <c r="U16" i="1" s="1"/>
  <c r="Y16" i="1"/>
  <c r="Y59" i="1"/>
  <c r="Z59" i="1" s="1"/>
  <c r="R59" i="1"/>
  <c r="U59" i="1" s="1"/>
  <c r="Y50" i="1"/>
  <c r="Z50" i="1" s="1"/>
  <c r="Y107" i="1"/>
  <c r="R107" i="1"/>
  <c r="U107" i="1" s="1"/>
  <c r="R51" i="1"/>
  <c r="U51" i="1" s="1"/>
  <c r="Y101" i="1"/>
  <c r="R101" i="1"/>
  <c r="U101" i="1" s="1"/>
  <c r="R3" i="1"/>
  <c r="U3" i="1" s="1"/>
  <c r="R9" i="1"/>
  <c r="U9" i="1" s="1"/>
  <c r="Y18" i="1"/>
  <c r="Z18" i="1" s="1"/>
  <c r="Q31" i="1"/>
  <c r="R37" i="1"/>
  <c r="U37" i="1" s="1"/>
  <c r="Q66" i="1"/>
  <c r="Y78" i="1"/>
  <c r="Z78" i="1" s="1"/>
  <c r="Y91" i="1"/>
  <c r="Z91" i="1" s="1"/>
  <c r="Q105" i="1"/>
  <c r="Y85" i="1"/>
  <c r="R85" i="1"/>
  <c r="U85" i="1" s="1"/>
  <c r="Y55" i="1"/>
  <c r="R55" i="1"/>
  <c r="U55" i="1" s="1"/>
  <c r="Q32" i="1"/>
  <c r="Q42" i="1"/>
  <c r="Y73" i="1"/>
  <c r="Z73" i="1" s="1"/>
  <c r="Q90" i="1"/>
  <c r="M9" i="11"/>
  <c r="P9" i="11"/>
  <c r="N9" i="11"/>
  <c r="R71" i="1"/>
  <c r="U71" i="1" s="1"/>
  <c r="Y71" i="1"/>
  <c r="Y26" i="1"/>
  <c r="Z26" i="1" s="1"/>
  <c r="Y40" i="1"/>
  <c r="Z40" i="1" s="1"/>
  <c r="N11" i="6"/>
  <c r="M11" i="6"/>
  <c r="P11" i="6"/>
  <c r="Y15" i="1"/>
  <c r="Z15" i="1" s="1"/>
  <c r="R24" i="1"/>
  <c r="U24" i="1" s="1"/>
  <c r="Q47" i="1"/>
  <c r="Q74" i="1"/>
  <c r="Q81" i="1"/>
  <c r="Y92" i="1"/>
  <c r="Z92" i="1" s="1"/>
  <c r="Z93" i="1"/>
  <c r="N13" i="7"/>
  <c r="Q23" i="1"/>
  <c r="Q48" i="1"/>
  <c r="Q58" i="1"/>
  <c r="Q72" i="1"/>
  <c r="R75" i="1"/>
  <c r="U75" i="1" s="1"/>
  <c r="Q82" i="1"/>
  <c r="R93" i="1"/>
  <c r="U93" i="1" s="1"/>
  <c r="Y41" i="1"/>
  <c r="Z41" i="1" s="1"/>
  <c r="R41" i="1"/>
  <c r="U41" i="1" s="1"/>
  <c r="R61" i="1"/>
  <c r="U61" i="1" s="1"/>
  <c r="R102" i="1"/>
  <c r="U102" i="1" s="1"/>
  <c r="Y102" i="1"/>
  <c r="Z102" i="1" s="1"/>
  <c r="Y25" i="1"/>
  <c r="Z25" i="1" s="1"/>
  <c r="R25" i="1"/>
  <c r="U25" i="1" s="1"/>
  <c r="Q34" i="1"/>
  <c r="Q63" i="1"/>
  <c r="Y76" i="1"/>
  <c r="Z76" i="1" s="1"/>
  <c r="Q80" i="1"/>
  <c r="R104" i="1"/>
  <c r="U104" i="1" s="1"/>
  <c r="Y104" i="1"/>
  <c r="Z104" i="1" s="1"/>
  <c r="M9" i="3"/>
  <c r="P9" i="3"/>
  <c r="M8" i="5"/>
  <c r="P8" i="5"/>
  <c r="N8" i="5"/>
  <c r="Q39" i="1"/>
  <c r="Q64" i="1"/>
  <c r="Y86" i="1"/>
  <c r="Z86" i="1" s="1"/>
  <c r="Q95" i="1"/>
  <c r="Y103" i="1"/>
  <c r="Z103" i="1" s="1"/>
  <c r="M14" i="3"/>
  <c r="P14" i="3"/>
  <c r="N14" i="3"/>
  <c r="R88" i="1"/>
  <c r="U88" i="1" s="1"/>
  <c r="Y88" i="1"/>
  <c r="Z88" i="1" s="1"/>
  <c r="R96" i="1"/>
  <c r="U96" i="1" s="1"/>
  <c r="Y96" i="1"/>
  <c r="Z97" i="1"/>
  <c r="N15" i="2"/>
  <c r="M15" i="2"/>
  <c r="P15" i="2"/>
  <c r="M11" i="7"/>
  <c r="P11" i="7"/>
  <c r="M16" i="8"/>
  <c r="Q62" i="1"/>
  <c r="L13" i="2"/>
  <c r="L9" i="2"/>
  <c r="N9" i="2" s="1"/>
  <c r="L14" i="2"/>
  <c r="L10" i="2"/>
  <c r="L12" i="2"/>
  <c r="L8" i="2"/>
  <c r="L11" i="2"/>
  <c r="L13" i="6"/>
  <c r="L9" i="6"/>
  <c r="N9" i="6" s="1"/>
  <c r="L10" i="6"/>
  <c r="N10" i="6" s="1"/>
  <c r="L12" i="6"/>
  <c r="L8" i="6"/>
  <c r="N9" i="10"/>
  <c r="M9" i="10"/>
  <c r="P9" i="10"/>
  <c r="Q54" i="1"/>
  <c r="Q98" i="1"/>
  <c r="Q106" i="1"/>
  <c r="N10" i="2"/>
  <c r="M10" i="3"/>
  <c r="P10" i="3"/>
  <c r="Q89" i="1"/>
  <c r="N10" i="3"/>
  <c r="N9" i="4"/>
  <c r="M9" i="4"/>
  <c r="P9" i="4"/>
  <c r="L13" i="7"/>
  <c r="L9" i="7"/>
  <c r="L14" i="7"/>
  <c r="L10" i="7"/>
  <c r="L15" i="7"/>
  <c r="L8" i="7"/>
  <c r="L12" i="7"/>
  <c r="Q22" i="1"/>
  <c r="Q30" i="1"/>
  <c r="Q38" i="1"/>
  <c r="Q46" i="1"/>
  <c r="Q28" i="1"/>
  <c r="Q36" i="1"/>
  <c r="Q44" i="1"/>
  <c r="Q52" i="1"/>
  <c r="Q60" i="1"/>
  <c r="Q68" i="1"/>
  <c r="Q94" i="1"/>
  <c r="M12" i="5"/>
  <c r="P12" i="5"/>
  <c r="N8" i="6"/>
  <c r="N11" i="7"/>
  <c r="N14" i="8"/>
  <c r="M14" i="8"/>
  <c r="P14" i="8"/>
  <c r="N11" i="5"/>
  <c r="M15" i="9"/>
  <c r="P15" i="9"/>
  <c r="M13" i="11"/>
  <c r="P13" i="11"/>
  <c r="N13" i="11"/>
  <c r="L13" i="12"/>
  <c r="L9" i="12"/>
  <c r="L14" i="12"/>
  <c r="L10" i="12"/>
  <c r="N10" i="12" s="1"/>
  <c r="L15" i="12"/>
  <c r="L11" i="12"/>
  <c r="L12" i="12"/>
  <c r="L8" i="12"/>
  <c r="N9" i="3"/>
  <c r="N13" i="4"/>
  <c r="M13" i="4"/>
  <c r="N10" i="8"/>
  <c r="M10" i="8"/>
  <c r="M11" i="9"/>
  <c r="P11" i="9"/>
  <c r="N15" i="9"/>
  <c r="P13" i="9"/>
  <c r="N13" i="9"/>
  <c r="P15" i="11"/>
  <c r="N15" i="11"/>
  <c r="P12" i="3"/>
  <c r="N12" i="3"/>
  <c r="L13" i="5"/>
  <c r="N13" i="5" s="1"/>
  <c r="L9" i="5"/>
  <c r="L14" i="5"/>
  <c r="L10" i="5"/>
  <c r="N15" i="7"/>
  <c r="N10" i="9"/>
  <c r="N13" i="10"/>
  <c r="M13" i="10"/>
  <c r="M14" i="13"/>
  <c r="P14" i="13"/>
  <c r="N14" i="13"/>
  <c r="P14" i="15"/>
  <c r="M14" i="15"/>
  <c r="N16" i="8"/>
  <c r="P13" i="10"/>
  <c r="N9" i="12"/>
  <c r="P12" i="13"/>
  <c r="N12" i="13"/>
  <c r="M12" i="13"/>
  <c r="M15" i="11"/>
  <c r="N13" i="12"/>
  <c r="M10" i="13"/>
  <c r="P10" i="13"/>
  <c r="N10" i="13"/>
  <c r="N14" i="15"/>
  <c r="N9" i="15"/>
  <c r="L12" i="15"/>
  <c r="L11" i="8"/>
  <c r="L15" i="8"/>
  <c r="N15" i="8" s="1"/>
  <c r="P9" i="15"/>
  <c r="P13" i="15"/>
  <c r="L8" i="3"/>
  <c r="L9" i="9"/>
  <c r="L11" i="11"/>
  <c r="L8" i="13"/>
  <c r="L11" i="15"/>
  <c r="M9" i="14"/>
  <c r="M13" i="14"/>
  <c r="M11" i="3"/>
  <c r="L9" i="8"/>
  <c r="N9" i="8" s="1"/>
  <c r="L13" i="8"/>
  <c r="L17" i="8"/>
  <c r="M8" i="9"/>
  <c r="M12" i="9"/>
  <c r="M10" i="11"/>
  <c r="M14" i="11"/>
  <c r="M11" i="13"/>
  <c r="N13" i="14"/>
  <c r="M10" i="15"/>
  <c r="L8" i="8"/>
  <c r="N8" i="8" s="1"/>
  <c r="L12" i="8"/>
  <c r="N12" i="8" s="1"/>
  <c r="P8" i="13" l="1"/>
  <c r="N8" i="13"/>
  <c r="M8" i="13"/>
  <c r="P12" i="15"/>
  <c r="M12" i="15"/>
  <c r="M17" i="8"/>
  <c r="P17" i="8"/>
  <c r="P10" i="5"/>
  <c r="N10" i="5"/>
  <c r="M10" i="5"/>
  <c r="P8" i="3"/>
  <c r="N8" i="3"/>
  <c r="M8" i="3"/>
  <c r="P9" i="5"/>
  <c r="M9" i="5"/>
  <c r="P14" i="12"/>
  <c r="M14" i="12"/>
  <c r="P11" i="15"/>
  <c r="N11" i="15"/>
  <c r="M11" i="15"/>
  <c r="P11" i="8"/>
  <c r="M11" i="8"/>
  <c r="N11" i="8"/>
  <c r="P12" i="12"/>
  <c r="N12" i="12"/>
  <c r="M12" i="12"/>
  <c r="R60" i="1"/>
  <c r="U60" i="1" s="1"/>
  <c r="Y60" i="1"/>
  <c r="Z60" i="1" s="1"/>
  <c r="Y22" i="1"/>
  <c r="Z22" i="1" s="1"/>
  <c r="R22" i="1"/>
  <c r="U22" i="1" s="1"/>
  <c r="N9" i="5"/>
  <c r="P8" i="6"/>
  <c r="M8" i="6"/>
  <c r="P10" i="2"/>
  <c r="M10" i="2"/>
  <c r="R34" i="1"/>
  <c r="U34" i="1" s="1"/>
  <c r="Y34" i="1"/>
  <c r="R42" i="1"/>
  <c r="U42" i="1" s="1"/>
  <c r="Y42" i="1"/>
  <c r="Z42" i="1" s="1"/>
  <c r="Z37" i="1"/>
  <c r="Z61" i="1"/>
  <c r="M14" i="2"/>
  <c r="P14" i="2"/>
  <c r="N12" i="15"/>
  <c r="Z96" i="1"/>
  <c r="Y32" i="1"/>
  <c r="R32" i="1"/>
  <c r="U32" i="1" s="1"/>
  <c r="Z101" i="1"/>
  <c r="Z16" i="1"/>
  <c r="Z8" i="1"/>
  <c r="Z20" i="1"/>
  <c r="Z53" i="1"/>
  <c r="Z84" i="1"/>
  <c r="R52" i="1"/>
  <c r="U52" i="1" s="1"/>
  <c r="Y52" i="1"/>
  <c r="Z52" i="1" s="1"/>
  <c r="P11" i="11"/>
  <c r="N11" i="11"/>
  <c r="M11" i="11"/>
  <c r="R66" i="1"/>
  <c r="U66" i="1" s="1"/>
  <c r="Y66" i="1"/>
  <c r="Z66" i="1" s="1"/>
  <c r="N11" i="12"/>
  <c r="M11" i="12"/>
  <c r="P11" i="12"/>
  <c r="R98" i="1"/>
  <c r="U98" i="1" s="1"/>
  <c r="Y98" i="1"/>
  <c r="P13" i="2"/>
  <c r="M13" i="2"/>
  <c r="Z55" i="1"/>
  <c r="R44" i="1"/>
  <c r="U44" i="1" s="1"/>
  <c r="Y44" i="1"/>
  <c r="P10" i="6"/>
  <c r="M10" i="6"/>
  <c r="P13" i="8"/>
  <c r="M13" i="8"/>
  <c r="R28" i="1"/>
  <c r="U28" i="1" s="1"/>
  <c r="Y28" i="1"/>
  <c r="Z28" i="1" s="1"/>
  <c r="P10" i="7"/>
  <c r="N10" i="7"/>
  <c r="M10" i="7"/>
  <c r="Y54" i="1"/>
  <c r="Z54" i="1" s="1"/>
  <c r="R54" i="1"/>
  <c r="U54" i="1" s="1"/>
  <c r="P13" i="6"/>
  <c r="M13" i="6"/>
  <c r="Y62" i="1"/>
  <c r="Z62" i="1" s="1"/>
  <c r="R62" i="1"/>
  <c r="U62" i="1" s="1"/>
  <c r="Y64" i="1"/>
  <c r="R64" i="1"/>
  <c r="U64" i="1" s="1"/>
  <c r="R72" i="1"/>
  <c r="U72" i="1" s="1"/>
  <c r="Y72" i="1"/>
  <c r="R81" i="1"/>
  <c r="U81" i="1" s="1"/>
  <c r="Y81" i="1"/>
  <c r="Z81" i="1" s="1"/>
  <c r="Z51" i="1"/>
  <c r="Y31" i="1"/>
  <c r="Z31" i="1" s="1"/>
  <c r="R31" i="1"/>
  <c r="U31" i="1" s="1"/>
  <c r="Z107" i="1"/>
  <c r="Z45" i="1"/>
  <c r="Z69" i="1"/>
  <c r="Z5" i="1"/>
  <c r="Z77" i="1"/>
  <c r="Z67" i="1"/>
  <c r="Z19" i="1"/>
  <c r="P12" i="6"/>
  <c r="M12" i="6"/>
  <c r="N12" i="6"/>
  <c r="N15" i="12"/>
  <c r="M15" i="12"/>
  <c r="P15" i="12"/>
  <c r="M8" i="7"/>
  <c r="P8" i="7"/>
  <c r="N8" i="7"/>
  <c r="P9" i="2"/>
  <c r="M9" i="2"/>
  <c r="R36" i="1"/>
  <c r="U36" i="1" s="1"/>
  <c r="Y36" i="1"/>
  <c r="Z36" i="1" s="1"/>
  <c r="M15" i="7"/>
  <c r="P15" i="7"/>
  <c r="P13" i="5"/>
  <c r="M13" i="5"/>
  <c r="N14" i="12"/>
  <c r="P9" i="12"/>
  <c r="M9" i="12"/>
  <c r="N13" i="6"/>
  <c r="Y46" i="1"/>
  <c r="R46" i="1"/>
  <c r="U46" i="1" s="1"/>
  <c r="P14" i="7"/>
  <c r="N14" i="7"/>
  <c r="M14" i="7"/>
  <c r="N14" i="2"/>
  <c r="N11" i="2"/>
  <c r="M11" i="2"/>
  <c r="P11" i="2"/>
  <c r="Y39" i="1"/>
  <c r="Z39" i="1" s="1"/>
  <c r="R39" i="1"/>
  <c r="U39" i="1" s="1"/>
  <c r="R80" i="1"/>
  <c r="U80" i="1" s="1"/>
  <c r="Y80" i="1"/>
  <c r="R58" i="1"/>
  <c r="U58" i="1" s="1"/>
  <c r="Y58" i="1"/>
  <c r="Z75" i="1"/>
  <c r="Z85" i="1"/>
  <c r="Z99" i="1"/>
  <c r="Z65" i="1"/>
  <c r="Z3" i="1"/>
  <c r="R106" i="1"/>
  <c r="U106" i="1" s="1"/>
  <c r="Y106" i="1"/>
  <c r="Z106" i="1" s="1"/>
  <c r="R95" i="1"/>
  <c r="U95" i="1" s="1"/>
  <c r="Y95" i="1"/>
  <c r="R82" i="1"/>
  <c r="U82" i="1" s="1"/>
  <c r="Y82" i="1"/>
  <c r="Z82" i="1" s="1"/>
  <c r="P9" i="9"/>
  <c r="N9" i="9"/>
  <c r="M9" i="9"/>
  <c r="P14" i="5"/>
  <c r="N14" i="5"/>
  <c r="M14" i="5"/>
  <c r="P10" i="12"/>
  <c r="M10" i="12"/>
  <c r="P9" i="6"/>
  <c r="M9" i="6"/>
  <c r="M9" i="8"/>
  <c r="P9" i="8"/>
  <c r="N17" i="8"/>
  <c r="P13" i="12"/>
  <c r="M13" i="12"/>
  <c r="R94" i="1"/>
  <c r="U94" i="1" s="1"/>
  <c r="Y94" i="1"/>
  <c r="Y38" i="1"/>
  <c r="R38" i="1"/>
  <c r="U38" i="1" s="1"/>
  <c r="P9" i="7"/>
  <c r="M9" i="7"/>
  <c r="Y89" i="1"/>
  <c r="R89" i="1"/>
  <c r="U89" i="1" s="1"/>
  <c r="P8" i="2"/>
  <c r="M8" i="2"/>
  <c r="N8" i="2"/>
  <c r="N13" i="8"/>
  <c r="Y48" i="1"/>
  <c r="R48" i="1"/>
  <c r="U48" i="1" s="1"/>
  <c r="R74" i="1"/>
  <c r="U74" i="1" s="1"/>
  <c r="Y74" i="1"/>
  <c r="Z74" i="1" s="1"/>
  <c r="R90" i="1"/>
  <c r="U90" i="1" s="1"/>
  <c r="Y90" i="1"/>
  <c r="N13" i="2"/>
  <c r="Z35" i="1"/>
  <c r="Z43" i="1"/>
  <c r="Z33" i="1"/>
  <c r="P12" i="8"/>
  <c r="M12" i="8"/>
  <c r="M12" i="7"/>
  <c r="P12" i="7"/>
  <c r="N12" i="7"/>
  <c r="P8" i="8"/>
  <c r="M8" i="8"/>
  <c r="P15" i="8"/>
  <c r="M15" i="8"/>
  <c r="P8" i="12"/>
  <c r="M8" i="12"/>
  <c r="N8" i="12"/>
  <c r="R68" i="1"/>
  <c r="U68" i="1" s="1"/>
  <c r="Y68" i="1"/>
  <c r="Z68" i="1" s="1"/>
  <c r="Y30" i="1"/>
  <c r="R30" i="1"/>
  <c r="U30" i="1" s="1"/>
  <c r="P13" i="7"/>
  <c r="M13" i="7"/>
  <c r="P12" i="2"/>
  <c r="M12" i="2"/>
  <c r="N9" i="7"/>
  <c r="N12" i="2"/>
  <c r="Y63" i="1"/>
  <c r="R63" i="1"/>
  <c r="U63" i="1" s="1"/>
  <c r="Y23" i="1"/>
  <c r="R23" i="1"/>
  <c r="U23" i="1" s="1"/>
  <c r="Y47" i="1"/>
  <c r="Z47" i="1" s="1"/>
  <c r="R47" i="1"/>
  <c r="U47" i="1" s="1"/>
  <c r="Z71" i="1"/>
  <c r="R105" i="1"/>
  <c r="U105" i="1" s="1"/>
  <c r="Y105" i="1"/>
  <c r="Z17" i="1"/>
  <c r="Z57" i="1"/>
  <c r="Z87" i="1"/>
  <c r="Z105" i="1" l="1"/>
  <c r="Z63" i="1"/>
  <c r="Z30" i="1"/>
  <c r="Z48" i="1"/>
  <c r="Z80" i="1"/>
  <c r="Z38" i="1"/>
  <c r="Z64" i="1"/>
  <c r="Z44" i="1"/>
  <c r="Z32" i="1"/>
  <c r="Z90" i="1"/>
  <c r="Z94" i="1"/>
  <c r="Z34" i="1"/>
  <c r="Z46" i="1"/>
  <c r="Z23" i="1"/>
  <c r="Z89" i="1"/>
  <c r="Z95" i="1"/>
  <c r="Z58" i="1"/>
  <c r="Z72" i="1"/>
  <c r="Z98" i="1"/>
</calcChain>
</file>

<file path=xl/sharedStrings.xml><?xml version="1.0" encoding="utf-8"?>
<sst xmlns="http://schemas.openxmlformats.org/spreadsheetml/2006/main" count="962" uniqueCount="173">
  <si>
    <t>ADC</t>
  </si>
  <si>
    <t>EI</t>
  </si>
  <si>
    <t>Organe</t>
  </si>
  <si>
    <t>V</t>
  </si>
  <si>
    <t>P</t>
  </si>
  <si>
    <t>D</t>
  </si>
  <si>
    <t>H</t>
  </si>
  <si>
    <t>B</t>
  </si>
  <si>
    <t>L</t>
  </si>
  <si>
    <t>E</t>
  </si>
  <si>
    <t>5P</t>
  </si>
  <si>
    <t>1D</t>
  </si>
  <si>
    <t>1H</t>
  </si>
  <si>
    <t>1.5B</t>
  </si>
  <si>
    <t>0.5L</t>
  </si>
  <si>
    <t>0.5E</t>
  </si>
  <si>
    <t>Σ pondéré</t>
  </si>
  <si>
    <t>T-ADC = Σ×V</t>
  </si>
  <si>
    <t>%G≥3 observé</t>
  </si>
  <si>
    <t>SSP observé</t>
  </si>
  <si>
    <t>Grade prédit</t>
  </si>
  <si>
    <t>Y binaire (G≥3 &gt;10%)</t>
  </si>
  <si>
    <t>Payload class</t>
  </si>
  <si>
    <t>S(payload,organe)</t>
  </si>
  <si>
    <t>T-ADC v3 = Σ×V×S</t>
  </si>
  <si>
    <t>Δ v2→v3</t>
  </si>
  <si>
    <t>Mylotarg</t>
  </si>
  <si>
    <t>Thrombocytopénie</t>
  </si>
  <si>
    <t>Moelle</t>
  </si>
  <si>
    <t>Calicheamicin</t>
  </si>
  <si>
    <t>Neutropénie</t>
  </si>
  <si>
    <t>Anémie</t>
  </si>
  <si>
    <t>VOD / SOS hépatique</t>
  </si>
  <si>
    <t>Foie</t>
  </si>
  <si>
    <t>Élévation AST/ALT</t>
  </si>
  <si>
    <t>Fièvre</t>
  </si>
  <si>
    <t>Système</t>
  </si>
  <si>
    <t>Nausées</t>
  </si>
  <si>
    <t>Tractus GI</t>
  </si>
  <si>
    <t>Hémorragie</t>
  </si>
  <si>
    <t>Sang</t>
  </si>
  <si>
    <t>Adcetris</t>
  </si>
  <si>
    <t>MMAE</t>
  </si>
  <si>
    <t>Neuropathie périphérique</t>
  </si>
  <si>
    <t>Nerf</t>
  </si>
  <si>
    <t>Fatigue</t>
  </si>
  <si>
    <t>Diarrhée</t>
  </si>
  <si>
    <t>Neutropénie fébrile</t>
  </si>
  <si>
    <t>Infection pulmonaire</t>
  </si>
  <si>
    <t>Poumon</t>
  </si>
  <si>
    <t>Kadcyla</t>
  </si>
  <si>
    <t>DM1</t>
  </si>
  <si>
    <t>Élévation AST</t>
  </si>
  <si>
    <t>Élévation ALT</t>
  </si>
  <si>
    <t>FEVG diminuée</t>
  </si>
  <si>
    <t>Cœur</t>
  </si>
  <si>
    <t>Besponsa</t>
  </si>
  <si>
    <t>Hyperbilirubinémie</t>
  </si>
  <si>
    <t>Polivy</t>
  </si>
  <si>
    <t>Padcev</t>
  </si>
  <si>
    <t>Rash maculo-papulaire</t>
  </si>
  <si>
    <t>Peau</t>
  </si>
  <si>
    <t>Alopécie</t>
  </si>
  <si>
    <t>Diminution appétit</t>
  </si>
  <si>
    <t>Hyperglycémie</t>
  </si>
  <si>
    <t>SJS / TEN (BOXED)</t>
  </si>
  <si>
    <t>Enhertu</t>
  </si>
  <si>
    <t>DXd</t>
  </si>
  <si>
    <t>Vomissements</t>
  </si>
  <si>
    <t>ILD / Pneumopathie (BOXED)</t>
  </si>
  <si>
    <t>Stomatite</t>
  </si>
  <si>
    <t>Trodelvy</t>
  </si>
  <si>
    <t>SN-38</t>
  </si>
  <si>
    <t>Blenrep</t>
  </si>
  <si>
    <t>Kératopathie cornéenne</t>
  </si>
  <si>
    <t>Œil</t>
  </si>
  <si>
    <t>MMAF</t>
  </si>
  <si>
    <t>Vision floue</t>
  </si>
  <si>
    <t>Sécheresse oculaire</t>
  </si>
  <si>
    <t>Zynlonta</t>
  </si>
  <si>
    <t>Élévation GGT</t>
  </si>
  <si>
    <t>PBD</t>
  </si>
  <si>
    <t>Épanchement pleural</t>
  </si>
  <si>
    <t>Œdème périphérique</t>
  </si>
  <si>
    <t>Rash</t>
  </si>
  <si>
    <t>Tivdak</t>
  </si>
  <si>
    <t>Hémorragie (tous sites)</t>
  </si>
  <si>
    <t>Toxicité oculaire (conj./kératite)</t>
  </si>
  <si>
    <t>Épistaxis</t>
  </si>
  <si>
    <t>Elahere</t>
  </si>
  <si>
    <t>DM4</t>
  </si>
  <si>
    <t>Datroway</t>
  </si>
  <si>
    <t>Stomatite / mucite</t>
  </si>
  <si>
    <t>ILD / Pneumopathie</t>
  </si>
  <si>
    <t>Constipation</t>
  </si>
  <si>
    <t>Teliso-V</t>
  </si>
  <si>
    <t>Hypoalbuminémie</t>
  </si>
  <si>
    <t>POUR LA RÉGRESSION LINÉAIRE :</t>
  </si>
  <si>
    <t>X (features) = colonnes K à P (termes pondérés) + colonne D (V organe)</t>
  </si>
  <si>
    <t>Y continue = colonne T (SSP observé) — régression linéaire multiple</t>
  </si>
  <si>
    <t>Y binaire = colonne V (G≥3 &gt;10%) — régression logistique</t>
  </si>
  <si>
    <t>Y ordinale = grade CTCAE modal — régression ordinale (proportional odds)</t>
  </si>
  <si>
    <t>Objectif ML : trouver les poids optimaux w1..w6 tels que T = (w1·P + w2·D + w3·H + w4·B + w5·L + w6·E) × V maximise la corrélation avec SSP</t>
  </si>
  <si>
    <t>Mylotarg (Gemtuzumab ozogamicin)</t>
  </si>
  <si>
    <t>Cible: CD33  |  Payload: Calicheamicin  |  Linker: Hydrazone  |  DAR: 2.5</t>
  </si>
  <si>
    <t>Essai pivotal: ALFA-0701  |  N = 135  |  PMID: 30348948</t>
  </si>
  <si>
    <t>Scores T-ADC:  P=3.0  D=1.0  H=0.5  B=0.5  L=3.0  E=0.5</t>
  </si>
  <si>
    <t>Σ pondéré (sans V) =</t>
  </si>
  <si>
    <t>EI (CTCAE v5.0)</t>
  </si>
  <si>
    <t>Organe cible</t>
  </si>
  <si>
    <t>V organe</t>
  </si>
  <si>
    <t>%G0</t>
  </si>
  <si>
    <t>%G1</t>
  </si>
  <si>
    <t>%G2</t>
  </si>
  <si>
    <t>%G3</t>
  </si>
  <si>
    <t>%G4</t>
  </si>
  <si>
    <t>%G5</t>
  </si>
  <si>
    <t>SSP</t>
  </si>
  <si>
    <t>%G≥3</t>
  </si>
  <si>
    <t>T-ADC (cet organe)</t>
  </si>
  <si>
    <t>Concordance</t>
  </si>
  <si>
    <t>Adcetris (Brentuximab vedotin)</t>
  </si>
  <si>
    <t>Cible: CD30  |  Payload: MMAE  |  Linker: mc-VC-PABC  |  DAR: 4.0</t>
  </si>
  <si>
    <t>Essai pivotal: ECHELON-1  |  N = 662  |  PMID: 29224502</t>
  </si>
  <si>
    <t>Scores T-ADC:  P=2.0  D=2.0  H=2.0  B=2.0  L=1.5  E=1.0</t>
  </si>
  <si>
    <t>Kadcyla (Ado-trastuzumab emtansine)</t>
  </si>
  <si>
    <t>Cible: HER2  |  Payload: DM1  |  Linker: SMCC thioéther  |  DAR: 3.5</t>
  </si>
  <si>
    <t>Essai pivotal: EMILIA  |  N = 490  |  PMID: 23020162</t>
  </si>
  <si>
    <t>Scores T-ADC:  P=1.0  D=1.5  H=1.0  B=0.5  L=0.5  E=1.5</t>
  </si>
  <si>
    <t>Besponsa (Inotuzumab ozogamicin)</t>
  </si>
  <si>
    <t>Cible: CD22  |  Payload: Calicheamicin  |  Linker: Hydrazone  |  DAR: 6.0</t>
  </si>
  <si>
    <t>Essai pivotal: INO-VATE ALL  |  N = 164  |  PMID: 27292104</t>
  </si>
  <si>
    <t>Scores T-ADC:  P=3.0  D=3.0  H=0.5  B=0.5  L=3.0  E=0.5</t>
  </si>
  <si>
    <t>Polivy (Polatuzumab vedotin)</t>
  </si>
  <si>
    <t>Cible: CD79b  |  Payload: MMAE  |  Linker: mc-VC-PABC  |  DAR: 3.5</t>
  </si>
  <si>
    <t>Essai pivotal: POLARIX  |  N = 440  |  PMID: 34904799</t>
  </si>
  <si>
    <t>Scores T-ADC:  P=1.5  D=1.5  H=2.0  B=2.0  L=1.5  E=0.5</t>
  </si>
  <si>
    <t>Padcev (Enfortumab vedotin)</t>
  </si>
  <si>
    <t>Cible: Nectin-4  |  Payload: MMAE  |  Linker: mc-VC-PABC  |  DAR: 3.8</t>
  </si>
  <si>
    <t>Essai pivotal: EV-301  |  N = 296  |  PMID: 33577729</t>
  </si>
  <si>
    <t>Scores T-ADC:  P=1.5  D=1.5  H=2.0  B=1.5  L=1.5  E=2.5</t>
  </si>
  <si>
    <t>Enhertu (Trastuzumab deruxtecan)</t>
  </si>
  <si>
    <t>Cible: HER2  |  Payload: DXd  |  Linker: Tétrapeptide GGFG  |  DAR: 8.0</t>
  </si>
  <si>
    <t>Essai pivotal: DESTINY-Breast03  |  N = 257  |  PMID: 35320644</t>
  </si>
  <si>
    <t>Scores T-ADC:  P=1.0  D=2.5  H=0.5  B=2.0  L=1.0  E=1.0</t>
  </si>
  <si>
    <t>Trodelvy (Sacituzumab govitecan)</t>
  </si>
  <si>
    <t>Cible: Trop-2  |  Payload: SN-38  |  Linker: CL2A pH-dép.  |  DAR: 7.6</t>
  </si>
  <si>
    <t>Essai pivotal: ASCENT  |  N = 258  |  PMID: 33882206</t>
  </si>
  <si>
    <t>Scores T-ADC:  P=2.5  D=2.5  H=1.5  B=2.0  L=2.5  E=1.0</t>
  </si>
  <si>
    <t>Blenrep (Belantamab mafodotin)</t>
  </si>
  <si>
    <t>Cible: BCMA  |  Payload: MMAF  |  Linker: mc non-clivable  |  DAR: 4.0</t>
  </si>
  <si>
    <t>Essai pivotal: DREAMM-2  |  N = 97  |  PMID: 31859245</t>
  </si>
  <si>
    <t>Scores T-ADC:  P=2.0  D=2.0  H=1.5  B=0.5  L=0.5  E=2.0</t>
  </si>
  <si>
    <t>Zynlonta (Loncastuximab tesirine)</t>
  </si>
  <si>
    <t>Cible: CD19  |  Payload: PBD dimère  |  Linker: Val-Ala dipeptide  |  DAR: 2.3</t>
  </si>
  <si>
    <t>Essai pivotal: LOTIS-2  |  N = 145  |  PMID: 34000236</t>
  </si>
  <si>
    <t>Scores T-ADC:  P=2.5  D=0.5  H=0.5  B=1.5  L=1.5  E=1.5</t>
  </si>
  <si>
    <t>Tivdak (Tisotumab vedotin)</t>
  </si>
  <si>
    <t>Cible: TF  |  Payload: MMAE  |  Linker: mc-VC-PABC  |  DAR: 4.0</t>
  </si>
  <si>
    <t>Essai pivotal: innovaTV 204  |  N = 101  |  PMID: 33845034</t>
  </si>
  <si>
    <t>Scores T-ADC:  P=1.5  D=2.0  H=2.0  B=2.0  L=1.5  E=2.5</t>
  </si>
  <si>
    <t>Elahere (Mirvetuximab soravtansine)</t>
  </si>
  <si>
    <t>Cible: FRα  |  Payload: DM4  |  Linker: sulfo-SPDB  |  DAR: 3.5</t>
  </si>
  <si>
    <t>Essai pivotal: SORAYA  |  N = 106  |  PMID: 36706356</t>
  </si>
  <si>
    <t>Scores T-ADC:  P=1.5  D=1.5  H=1.5  B=1.0  L=1.5  E=1.5</t>
  </si>
  <si>
    <t>Datroway (Datopotamab deruxtecan)</t>
  </si>
  <si>
    <t>Cible: Trop-2  |  Payload: DXd  |  Linker: Tétrapeptide GGFG  |  DAR: 4.0</t>
  </si>
  <si>
    <t>Essai pivotal: TROPION-Breast01  |  N = 342  |  PMID: 39288026</t>
  </si>
  <si>
    <t>Scores T-ADC:  P=1.0  D=1.5  H=0.5  B=1.0  L=1.0  E=1.0</t>
  </si>
  <si>
    <t>Teliso-V (Télisotuzumab vedotin)</t>
  </si>
  <si>
    <t>Cible: c-Met  |  Payload: MMAE  |  Linker: mc-VC dipeptide  |  DAR: 3.1</t>
  </si>
  <si>
    <t>Essai pivotal: LUMINOSITY  |  N = 116  |  PMID: AbbVie 2024</t>
  </si>
  <si>
    <t>Scores T-ADC:  P=1.5  D=1.5  H=2.0  B=1.5  L=1.5  E=1.5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</si>
</sst>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\+0.0;\-0.0;0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B1D3A"/>
      <name val="Consolas"/>
      <family val="2"/>
    </font>
    <font>
      <b/>
      <sz val="9"/>
      <color rgb="FFC0392B"/>
      <name val="Arial"/>
      <family val="2"/>
    </font>
    <font>
      <b/>
      <sz val="9"/>
      <color rgb="FF1C93A8"/>
      <name val="Arial"/>
      <family val="2"/>
    </font>
    <font>
      <b/>
      <sz val="11"/>
      <color rgb="FF0B1D3A"/>
      <name val="Arial"/>
      <family val="2"/>
    </font>
    <font>
      <b/>
      <sz val="14"/>
      <color rgb="FF0B1D3A"/>
      <name val="Arial"/>
      <family val="2"/>
    </font>
    <font>
      <i/>
      <sz val="8"/>
      <color rgb="FF666666"/>
      <name val="Arial"/>
      <family val="2"/>
    </font>
    <font>
      <b/>
      <sz val="9"/>
      <color rgb="FF1C93A8"/>
      <name val="Consolas"/>
      <family val="2"/>
    </font>
    <font>
      <b/>
      <sz val="9"/>
      <color rgb="FF0B1D3A"/>
      <name val="Arial"/>
      <family val="2"/>
    </font>
    <font>
      <b/>
      <sz val="11"/>
      <color rgb="FF0B1D3A"/>
      <name val="Consolas"/>
      <family val="2"/>
    </font>
    <font>
      <b/>
      <sz val="10"/>
      <color rgb="FFC0392B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rgb="FF0B1D3A"/>
        <bgColor rgb="FF003300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FF8E1"/>
      </patternFill>
    </fill>
    <fill>
      <patternFill patternType="solid">
        <fgColor rgb="FFE8F5E9"/>
        <bgColor rgb="FFF5F5F5"/>
      </patternFill>
    </fill>
    <fill>
      <patternFill patternType="solid">
        <fgColor rgb="FFFFF8E1"/>
        <bgColor rgb="FFFFF3E0"/>
      </patternFill>
    </fill>
    <fill>
      <patternFill patternType="solid">
        <fgColor rgb="FFFBE9E7"/>
        <bgColor rgb="FFF3E5F5"/>
      </patternFill>
    </fill>
    <fill>
      <patternFill patternType="solid">
        <fgColor rgb="FFF3E5F5"/>
        <bgColor rgb="FFFBE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/>
    <xf numFmtId="0" fontId="3" fillId="0" borderId="0" xfId="0" applyFont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93A8"/>
      <rgbColor rgb="FFCCCCCC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BE9E7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D3A"/>
      <rgbColor rgb="FF339966"/>
      <rgbColor rgb="FF003300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4" customWidth="1"/>
    <col min="2" max="2" width="28" customWidth="1"/>
    <col min="3" max="3" width="12" customWidth="1"/>
    <col min="4" max="4" width="6" customWidth="1"/>
    <col min="5" max="10" width="5" customWidth="1"/>
    <col min="11" max="16" width="6" customWidth="1"/>
    <col min="17" max="17" width="8" customWidth="1"/>
    <col min="18" max="21" width="10" customWidth="1"/>
    <col min="22" max="22" width="12" customWidth="1"/>
    <col min="23" max="25" width="14" customWidth="1"/>
    <col min="26" max="26" width="8" customWidth="1"/>
  </cols>
  <sheetData>
    <row r="1" spans="1:26" ht="23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ht="15" customHeight="1" x14ac:dyDescent="0.2">
      <c r="A2" s="5" t="s">
        <v>26</v>
      </c>
      <c r="B2" s="6" t="s">
        <v>27</v>
      </c>
      <c r="C2" s="6" t="s">
        <v>28</v>
      </c>
      <c r="D2" s="7">
        <v>1.8</v>
      </c>
      <c r="E2" s="7">
        <v>3</v>
      </c>
      <c r="F2" s="7">
        <v>1</v>
      </c>
      <c r="G2" s="7">
        <v>0.5</v>
      </c>
      <c r="H2" s="7">
        <v>0.5</v>
      </c>
      <c r="I2" s="7">
        <v>3</v>
      </c>
      <c r="J2" s="7">
        <v>0.5</v>
      </c>
      <c r="K2" s="7">
        <f t="shared" ref="K2:K33" si="0">5*E2</f>
        <v>15</v>
      </c>
      <c r="L2" s="7">
        <f t="shared" ref="L2:L33" si="1">1*F2</f>
        <v>1</v>
      </c>
      <c r="M2" s="7">
        <f t="shared" ref="M2:M33" si="2">1*G2</f>
        <v>0.5</v>
      </c>
      <c r="N2" s="7">
        <f t="shared" ref="N2:N33" si="3">1.5*H2</f>
        <v>0.75</v>
      </c>
      <c r="O2" s="7">
        <f t="shared" ref="O2:O33" si="4">0.5*I2</f>
        <v>1.5</v>
      </c>
      <c r="P2" s="7">
        <f t="shared" ref="P2:P33" si="5">0.5*J2</f>
        <v>0.25</v>
      </c>
      <c r="Q2" s="8">
        <f t="shared" ref="Q2:Q33" si="6">SUM(K2:P2)</f>
        <v>19</v>
      </c>
      <c r="R2" s="9">
        <f t="shared" ref="R2:R33" si="7">Q2*D2</f>
        <v>34.200000000000003</v>
      </c>
      <c r="S2" s="10">
        <v>82</v>
      </c>
      <c r="T2" s="11">
        <v>3.19</v>
      </c>
      <c r="U2" s="12" t="str">
        <f t="shared" ref="U2:U33" si="8">IF(R2&lt;12,"G1",IF(R2&lt;18,"G1-2",IF(R2&lt;25,"G2",IF(R2&lt;35,"G2-3",IF(R2&lt;45,"G3","G3-4")))))</f>
        <v>G2-3</v>
      </c>
      <c r="V2" s="12">
        <f t="shared" ref="V2:V33" si="9">IF(S2&gt;=10,1,0)</f>
        <v>1</v>
      </c>
      <c r="W2" s="13" t="s">
        <v>29</v>
      </c>
      <c r="X2" s="14">
        <v>2.81</v>
      </c>
      <c r="Y2" s="15">
        <f t="shared" ref="Y2:Y33" si="10">Q2*D2*X2</f>
        <v>96.102000000000004</v>
      </c>
      <c r="Z2" s="16">
        <f t="shared" ref="Z2:Z33" si="11">Y2-R2</f>
        <v>61.902000000000001</v>
      </c>
    </row>
    <row r="3" spans="1:26" ht="15" customHeight="1" x14ac:dyDescent="0.2">
      <c r="A3" s="17" t="s">
        <v>26</v>
      </c>
      <c r="B3" s="18" t="s">
        <v>30</v>
      </c>
      <c r="C3" s="18" t="s">
        <v>28</v>
      </c>
      <c r="D3" s="13">
        <v>1.8</v>
      </c>
      <c r="E3" s="13">
        <v>3</v>
      </c>
      <c r="F3" s="13">
        <v>1</v>
      </c>
      <c r="G3" s="13">
        <v>0.5</v>
      </c>
      <c r="H3" s="13">
        <v>0.5</v>
      </c>
      <c r="I3" s="13">
        <v>3</v>
      </c>
      <c r="J3" s="13">
        <v>0.5</v>
      </c>
      <c r="K3" s="13">
        <f t="shared" si="0"/>
        <v>15</v>
      </c>
      <c r="L3" s="13">
        <f t="shared" si="1"/>
        <v>1</v>
      </c>
      <c r="M3" s="13">
        <f t="shared" si="2"/>
        <v>0.5</v>
      </c>
      <c r="N3" s="13">
        <f t="shared" si="3"/>
        <v>0.75</v>
      </c>
      <c r="O3" s="13">
        <f t="shared" si="4"/>
        <v>1.5</v>
      </c>
      <c r="P3" s="13">
        <f t="shared" si="5"/>
        <v>0.25</v>
      </c>
      <c r="Q3" s="19">
        <f t="shared" si="6"/>
        <v>19</v>
      </c>
      <c r="R3" s="15">
        <f t="shared" si="7"/>
        <v>34.200000000000003</v>
      </c>
      <c r="S3" s="10">
        <v>80</v>
      </c>
      <c r="T3" s="20">
        <v>3.18</v>
      </c>
      <c r="U3" s="21" t="str">
        <f t="shared" si="8"/>
        <v>G2-3</v>
      </c>
      <c r="V3" s="21">
        <f t="shared" si="9"/>
        <v>1</v>
      </c>
      <c r="W3" s="13" t="s">
        <v>29</v>
      </c>
      <c r="X3" s="14">
        <v>2.81</v>
      </c>
      <c r="Y3" s="15">
        <f t="shared" si="10"/>
        <v>96.102000000000004</v>
      </c>
      <c r="Z3" s="16">
        <f t="shared" si="11"/>
        <v>61.902000000000001</v>
      </c>
    </row>
    <row r="4" spans="1:26" ht="15" customHeight="1" x14ac:dyDescent="0.2">
      <c r="A4" s="5" t="s">
        <v>26</v>
      </c>
      <c r="B4" s="6" t="s">
        <v>31</v>
      </c>
      <c r="C4" s="6" t="s">
        <v>28</v>
      </c>
      <c r="D4" s="7">
        <v>1.8</v>
      </c>
      <c r="E4" s="7">
        <v>3</v>
      </c>
      <c r="F4" s="7">
        <v>1</v>
      </c>
      <c r="G4" s="7">
        <v>0.5</v>
      </c>
      <c r="H4" s="7">
        <v>0.5</v>
      </c>
      <c r="I4" s="7">
        <v>3</v>
      </c>
      <c r="J4" s="7">
        <v>0.5</v>
      </c>
      <c r="K4" s="7">
        <f t="shared" si="0"/>
        <v>15</v>
      </c>
      <c r="L4" s="7">
        <f t="shared" si="1"/>
        <v>1</v>
      </c>
      <c r="M4" s="7">
        <f t="shared" si="2"/>
        <v>0.5</v>
      </c>
      <c r="N4" s="7">
        <f t="shared" si="3"/>
        <v>0.75</v>
      </c>
      <c r="O4" s="7">
        <f t="shared" si="4"/>
        <v>1.5</v>
      </c>
      <c r="P4" s="7">
        <f t="shared" si="5"/>
        <v>0.25</v>
      </c>
      <c r="Q4" s="8">
        <f t="shared" si="6"/>
        <v>19</v>
      </c>
      <c r="R4" s="9">
        <f t="shared" si="7"/>
        <v>34.200000000000003</v>
      </c>
      <c r="S4" s="10">
        <v>39</v>
      </c>
      <c r="T4" s="11">
        <v>1.96</v>
      </c>
      <c r="U4" s="12" t="str">
        <f t="shared" si="8"/>
        <v>G2-3</v>
      </c>
      <c r="V4" s="12">
        <f t="shared" si="9"/>
        <v>1</v>
      </c>
      <c r="W4" s="13" t="s">
        <v>29</v>
      </c>
      <c r="X4" s="14">
        <v>2.81</v>
      </c>
      <c r="Y4" s="15">
        <f t="shared" si="10"/>
        <v>96.102000000000004</v>
      </c>
      <c r="Z4" s="16">
        <f t="shared" si="11"/>
        <v>61.902000000000001</v>
      </c>
    </row>
    <row r="5" spans="1:26" ht="15" customHeight="1" x14ac:dyDescent="0.2">
      <c r="A5" s="17" t="s">
        <v>26</v>
      </c>
      <c r="B5" s="18" t="s">
        <v>32</v>
      </c>
      <c r="C5" s="18" t="s">
        <v>33</v>
      </c>
      <c r="D5" s="13">
        <v>1.2</v>
      </c>
      <c r="E5" s="13">
        <v>3</v>
      </c>
      <c r="F5" s="13">
        <v>1</v>
      </c>
      <c r="G5" s="13">
        <v>0.5</v>
      </c>
      <c r="H5" s="13">
        <v>0.5</v>
      </c>
      <c r="I5" s="13">
        <v>3</v>
      </c>
      <c r="J5" s="13">
        <v>0.5</v>
      </c>
      <c r="K5" s="13">
        <f t="shared" si="0"/>
        <v>15</v>
      </c>
      <c r="L5" s="13">
        <f t="shared" si="1"/>
        <v>1</v>
      </c>
      <c r="M5" s="13">
        <f t="shared" si="2"/>
        <v>0.5</v>
      </c>
      <c r="N5" s="13">
        <f t="shared" si="3"/>
        <v>0.75</v>
      </c>
      <c r="O5" s="13">
        <f t="shared" si="4"/>
        <v>1.5</v>
      </c>
      <c r="P5" s="13">
        <f t="shared" si="5"/>
        <v>0.25</v>
      </c>
      <c r="Q5" s="19">
        <f t="shared" si="6"/>
        <v>19</v>
      </c>
      <c r="R5" s="15">
        <f t="shared" si="7"/>
        <v>22.8</v>
      </c>
      <c r="S5" s="10">
        <v>5</v>
      </c>
      <c r="T5" s="20">
        <v>0.2</v>
      </c>
      <c r="U5" s="21" t="str">
        <f t="shared" si="8"/>
        <v>G2</v>
      </c>
      <c r="V5" s="21">
        <f t="shared" si="9"/>
        <v>0</v>
      </c>
      <c r="W5" s="13" t="s">
        <v>29</v>
      </c>
      <c r="X5" s="14">
        <v>0.57999999999999996</v>
      </c>
      <c r="Y5" s="15">
        <f t="shared" si="10"/>
        <v>13.224</v>
      </c>
      <c r="Z5" s="16">
        <f t="shared" si="11"/>
        <v>-9.5760000000000005</v>
      </c>
    </row>
    <row r="6" spans="1:26" ht="15" customHeight="1" x14ac:dyDescent="0.2">
      <c r="A6" s="5" t="s">
        <v>26</v>
      </c>
      <c r="B6" s="6" t="s">
        <v>34</v>
      </c>
      <c r="C6" s="6" t="s">
        <v>33</v>
      </c>
      <c r="D6" s="7">
        <v>1.2</v>
      </c>
      <c r="E6" s="7">
        <v>3</v>
      </c>
      <c r="F6" s="7">
        <v>1</v>
      </c>
      <c r="G6" s="7">
        <v>0.5</v>
      </c>
      <c r="H6" s="7">
        <v>0.5</v>
      </c>
      <c r="I6" s="7">
        <v>3</v>
      </c>
      <c r="J6" s="7">
        <v>0.5</v>
      </c>
      <c r="K6" s="7">
        <f t="shared" si="0"/>
        <v>15</v>
      </c>
      <c r="L6" s="7">
        <f t="shared" si="1"/>
        <v>1</v>
      </c>
      <c r="M6" s="7">
        <f t="shared" si="2"/>
        <v>0.5</v>
      </c>
      <c r="N6" s="7">
        <f t="shared" si="3"/>
        <v>0.75</v>
      </c>
      <c r="O6" s="7">
        <f t="shared" si="4"/>
        <v>1.5</v>
      </c>
      <c r="P6" s="7">
        <f t="shared" si="5"/>
        <v>0.25</v>
      </c>
      <c r="Q6" s="8">
        <f t="shared" si="6"/>
        <v>19</v>
      </c>
      <c r="R6" s="9">
        <f t="shared" si="7"/>
        <v>22.8</v>
      </c>
      <c r="S6" s="10">
        <v>8</v>
      </c>
      <c r="T6" s="11">
        <v>0.7</v>
      </c>
      <c r="U6" s="12" t="str">
        <f t="shared" si="8"/>
        <v>G2</v>
      </c>
      <c r="V6" s="12">
        <f t="shared" si="9"/>
        <v>0</v>
      </c>
      <c r="W6" s="13" t="s">
        <v>29</v>
      </c>
      <c r="X6" s="14">
        <v>0.57999999999999996</v>
      </c>
      <c r="Y6" s="15">
        <f t="shared" si="10"/>
        <v>13.224</v>
      </c>
      <c r="Z6" s="16">
        <f t="shared" si="11"/>
        <v>-9.5760000000000005</v>
      </c>
    </row>
    <row r="7" spans="1:26" ht="15" customHeight="1" x14ac:dyDescent="0.2">
      <c r="A7" s="17" t="s">
        <v>26</v>
      </c>
      <c r="B7" s="18" t="s">
        <v>35</v>
      </c>
      <c r="C7" s="18" t="s">
        <v>36</v>
      </c>
      <c r="D7" s="13">
        <v>1</v>
      </c>
      <c r="E7" s="13">
        <v>3</v>
      </c>
      <c r="F7" s="13">
        <v>1</v>
      </c>
      <c r="G7" s="13">
        <v>0.5</v>
      </c>
      <c r="H7" s="13">
        <v>0.5</v>
      </c>
      <c r="I7" s="13">
        <v>3</v>
      </c>
      <c r="J7" s="13">
        <v>0.5</v>
      </c>
      <c r="K7" s="13">
        <f t="shared" si="0"/>
        <v>15</v>
      </c>
      <c r="L7" s="13">
        <f t="shared" si="1"/>
        <v>1</v>
      </c>
      <c r="M7" s="13">
        <f t="shared" si="2"/>
        <v>0.5</v>
      </c>
      <c r="N7" s="13">
        <f t="shared" si="3"/>
        <v>0.75</v>
      </c>
      <c r="O7" s="13">
        <f t="shared" si="4"/>
        <v>1.5</v>
      </c>
      <c r="P7" s="13">
        <f t="shared" si="5"/>
        <v>0.25</v>
      </c>
      <c r="Q7" s="19">
        <f t="shared" si="6"/>
        <v>19</v>
      </c>
      <c r="R7" s="15">
        <f t="shared" si="7"/>
        <v>19</v>
      </c>
      <c r="S7" s="10">
        <v>10</v>
      </c>
      <c r="T7" s="20">
        <v>1.4</v>
      </c>
      <c r="U7" s="21" t="str">
        <f t="shared" si="8"/>
        <v>G2</v>
      </c>
      <c r="V7" s="21">
        <f t="shared" si="9"/>
        <v>1</v>
      </c>
      <c r="W7" s="13" t="s">
        <v>29</v>
      </c>
      <c r="X7" s="14">
        <v>1.86</v>
      </c>
      <c r="Y7" s="15">
        <f t="shared" si="10"/>
        <v>35.340000000000003</v>
      </c>
      <c r="Z7" s="16">
        <f t="shared" si="11"/>
        <v>16.340000000000003</v>
      </c>
    </row>
    <row r="8" spans="1:26" ht="15" customHeight="1" x14ac:dyDescent="0.2">
      <c r="A8" s="5" t="s">
        <v>26</v>
      </c>
      <c r="B8" s="6" t="s">
        <v>37</v>
      </c>
      <c r="C8" s="6" t="s">
        <v>38</v>
      </c>
      <c r="D8" s="7">
        <v>1</v>
      </c>
      <c r="E8" s="7">
        <v>3</v>
      </c>
      <c r="F8" s="7">
        <v>1</v>
      </c>
      <c r="G8" s="7">
        <v>0.5</v>
      </c>
      <c r="H8" s="7">
        <v>0.5</v>
      </c>
      <c r="I8" s="7">
        <v>3</v>
      </c>
      <c r="J8" s="7">
        <v>0.5</v>
      </c>
      <c r="K8" s="7">
        <f t="shared" si="0"/>
        <v>15</v>
      </c>
      <c r="L8" s="7">
        <f t="shared" si="1"/>
        <v>1</v>
      </c>
      <c r="M8" s="7">
        <f t="shared" si="2"/>
        <v>0.5</v>
      </c>
      <c r="N8" s="7">
        <f t="shared" si="3"/>
        <v>0.75</v>
      </c>
      <c r="O8" s="7">
        <f t="shared" si="4"/>
        <v>1.5</v>
      </c>
      <c r="P8" s="7">
        <f t="shared" si="5"/>
        <v>0.25</v>
      </c>
      <c r="Q8" s="8">
        <f t="shared" si="6"/>
        <v>19</v>
      </c>
      <c r="R8" s="9">
        <f t="shared" si="7"/>
        <v>19</v>
      </c>
      <c r="S8" s="10">
        <v>3</v>
      </c>
      <c r="T8" s="11">
        <v>0.63</v>
      </c>
      <c r="U8" s="12" t="str">
        <f t="shared" si="8"/>
        <v>G2</v>
      </c>
      <c r="V8" s="12">
        <f t="shared" si="9"/>
        <v>0</v>
      </c>
      <c r="W8" s="13" t="s">
        <v>29</v>
      </c>
      <c r="X8" s="14">
        <v>0.84</v>
      </c>
      <c r="Y8" s="15">
        <f t="shared" si="10"/>
        <v>15.959999999999999</v>
      </c>
      <c r="Z8" s="16">
        <f t="shared" si="11"/>
        <v>-3.0400000000000009</v>
      </c>
    </row>
    <row r="9" spans="1:26" ht="15" customHeight="1" x14ac:dyDescent="0.2">
      <c r="A9" s="17" t="s">
        <v>26</v>
      </c>
      <c r="B9" s="18" t="s">
        <v>39</v>
      </c>
      <c r="C9" s="18" t="s">
        <v>40</v>
      </c>
      <c r="D9" s="13">
        <v>1.8</v>
      </c>
      <c r="E9" s="13">
        <v>3</v>
      </c>
      <c r="F9" s="13">
        <v>1</v>
      </c>
      <c r="G9" s="13">
        <v>0.5</v>
      </c>
      <c r="H9" s="13">
        <v>0.5</v>
      </c>
      <c r="I9" s="13">
        <v>3</v>
      </c>
      <c r="J9" s="13">
        <v>0.5</v>
      </c>
      <c r="K9" s="13">
        <f t="shared" si="0"/>
        <v>15</v>
      </c>
      <c r="L9" s="13">
        <f t="shared" si="1"/>
        <v>1</v>
      </c>
      <c r="M9" s="13">
        <f t="shared" si="2"/>
        <v>0.5</v>
      </c>
      <c r="N9" s="13">
        <f t="shared" si="3"/>
        <v>0.75</v>
      </c>
      <c r="O9" s="13">
        <f t="shared" si="4"/>
        <v>1.5</v>
      </c>
      <c r="P9" s="13">
        <f t="shared" si="5"/>
        <v>0.25</v>
      </c>
      <c r="Q9" s="19">
        <f t="shared" si="6"/>
        <v>19</v>
      </c>
      <c r="R9" s="15">
        <f t="shared" si="7"/>
        <v>34.200000000000003</v>
      </c>
      <c r="S9" s="10">
        <v>5</v>
      </c>
      <c r="T9" s="20">
        <v>0.37</v>
      </c>
      <c r="U9" s="21" t="str">
        <f t="shared" si="8"/>
        <v>G2-3</v>
      </c>
      <c r="V9" s="21">
        <f t="shared" si="9"/>
        <v>0</v>
      </c>
      <c r="W9" s="13" t="s">
        <v>29</v>
      </c>
      <c r="X9" s="14">
        <v>0.49</v>
      </c>
      <c r="Y9" s="15">
        <f t="shared" si="10"/>
        <v>16.758000000000003</v>
      </c>
      <c r="Z9" s="16">
        <f t="shared" si="11"/>
        <v>-17.442</v>
      </c>
    </row>
    <row r="10" spans="1:26" ht="15" customHeight="1" x14ac:dyDescent="0.2">
      <c r="A10" s="5" t="s">
        <v>41</v>
      </c>
      <c r="B10" s="6" t="s">
        <v>30</v>
      </c>
      <c r="C10" s="6" t="s">
        <v>28</v>
      </c>
      <c r="D10" s="7">
        <v>1.8</v>
      </c>
      <c r="E10" s="7">
        <v>2</v>
      </c>
      <c r="F10" s="7">
        <v>2</v>
      </c>
      <c r="G10" s="7">
        <v>2</v>
      </c>
      <c r="H10" s="7">
        <v>2</v>
      </c>
      <c r="I10" s="7">
        <v>1.5</v>
      </c>
      <c r="J10" s="7">
        <v>1</v>
      </c>
      <c r="K10" s="7">
        <f t="shared" si="0"/>
        <v>10</v>
      </c>
      <c r="L10" s="7">
        <f t="shared" si="1"/>
        <v>2</v>
      </c>
      <c r="M10" s="7">
        <f t="shared" si="2"/>
        <v>2</v>
      </c>
      <c r="N10" s="7">
        <f t="shared" si="3"/>
        <v>3</v>
      </c>
      <c r="O10" s="7">
        <f t="shared" si="4"/>
        <v>0.75</v>
      </c>
      <c r="P10" s="7">
        <f t="shared" si="5"/>
        <v>0.5</v>
      </c>
      <c r="Q10" s="8">
        <f t="shared" si="6"/>
        <v>18.25</v>
      </c>
      <c r="R10" s="9">
        <f t="shared" si="7"/>
        <v>32.85</v>
      </c>
      <c r="S10" s="10">
        <v>54</v>
      </c>
      <c r="T10" s="11">
        <v>2.11</v>
      </c>
      <c r="U10" s="12" t="str">
        <f t="shared" si="8"/>
        <v>G2-3</v>
      </c>
      <c r="V10" s="12">
        <f t="shared" si="9"/>
        <v>1</v>
      </c>
      <c r="W10" s="13" t="s">
        <v>42</v>
      </c>
      <c r="X10" s="14">
        <v>1.3</v>
      </c>
      <c r="Y10" s="15">
        <f t="shared" si="10"/>
        <v>42.705000000000005</v>
      </c>
      <c r="Z10" s="16">
        <f t="shared" si="11"/>
        <v>9.855000000000004</v>
      </c>
    </row>
    <row r="11" spans="1:26" ht="15" customHeight="1" x14ac:dyDescent="0.2">
      <c r="A11" s="17" t="s">
        <v>41</v>
      </c>
      <c r="B11" s="18" t="s">
        <v>43</v>
      </c>
      <c r="C11" s="18" t="s">
        <v>44</v>
      </c>
      <c r="D11" s="13">
        <v>2</v>
      </c>
      <c r="E11" s="13">
        <v>2</v>
      </c>
      <c r="F11" s="13">
        <v>2</v>
      </c>
      <c r="G11" s="13">
        <v>2</v>
      </c>
      <c r="H11" s="13">
        <v>2</v>
      </c>
      <c r="I11" s="13">
        <v>1.5</v>
      </c>
      <c r="J11" s="13">
        <v>1</v>
      </c>
      <c r="K11" s="13">
        <f t="shared" si="0"/>
        <v>10</v>
      </c>
      <c r="L11" s="13">
        <f t="shared" si="1"/>
        <v>2</v>
      </c>
      <c r="M11" s="13">
        <f t="shared" si="2"/>
        <v>2</v>
      </c>
      <c r="N11" s="13">
        <f t="shared" si="3"/>
        <v>3</v>
      </c>
      <c r="O11" s="13">
        <f t="shared" si="4"/>
        <v>0.75</v>
      </c>
      <c r="P11" s="13">
        <f t="shared" si="5"/>
        <v>0.5</v>
      </c>
      <c r="Q11" s="19">
        <f t="shared" si="6"/>
        <v>18.25</v>
      </c>
      <c r="R11" s="15">
        <f t="shared" si="7"/>
        <v>36.5</v>
      </c>
      <c r="S11" s="10">
        <v>11</v>
      </c>
      <c r="T11" s="20">
        <v>1.17</v>
      </c>
      <c r="U11" s="21" t="str">
        <f t="shared" si="8"/>
        <v>G3</v>
      </c>
      <c r="V11" s="21">
        <f t="shared" si="9"/>
        <v>1</v>
      </c>
      <c r="W11" s="13" t="s">
        <v>42</v>
      </c>
      <c r="X11" s="14">
        <v>0.91</v>
      </c>
      <c r="Y11" s="15">
        <f t="shared" si="10"/>
        <v>33.215000000000003</v>
      </c>
      <c r="Z11" s="16">
        <f t="shared" si="11"/>
        <v>-3.2849999999999966</v>
      </c>
    </row>
    <row r="12" spans="1:26" ht="15" customHeight="1" x14ac:dyDescent="0.2">
      <c r="A12" s="5" t="s">
        <v>41</v>
      </c>
      <c r="B12" s="6" t="s">
        <v>45</v>
      </c>
      <c r="C12" s="6" t="s">
        <v>36</v>
      </c>
      <c r="D12" s="7">
        <v>1</v>
      </c>
      <c r="E12" s="7">
        <v>2</v>
      </c>
      <c r="F12" s="7">
        <v>2</v>
      </c>
      <c r="G12" s="7">
        <v>2</v>
      </c>
      <c r="H12" s="7">
        <v>2</v>
      </c>
      <c r="I12" s="7">
        <v>1.5</v>
      </c>
      <c r="J12" s="7">
        <v>1</v>
      </c>
      <c r="K12" s="7">
        <f t="shared" si="0"/>
        <v>10</v>
      </c>
      <c r="L12" s="7">
        <f t="shared" si="1"/>
        <v>2</v>
      </c>
      <c r="M12" s="7">
        <f t="shared" si="2"/>
        <v>2</v>
      </c>
      <c r="N12" s="7">
        <f t="shared" si="3"/>
        <v>3</v>
      </c>
      <c r="O12" s="7">
        <f t="shared" si="4"/>
        <v>0.75</v>
      </c>
      <c r="P12" s="7">
        <f t="shared" si="5"/>
        <v>0.5</v>
      </c>
      <c r="Q12" s="8">
        <f t="shared" si="6"/>
        <v>18.25</v>
      </c>
      <c r="R12" s="9">
        <f t="shared" si="7"/>
        <v>18.25</v>
      </c>
      <c r="S12" s="10">
        <v>3</v>
      </c>
      <c r="T12" s="11">
        <v>0.7</v>
      </c>
      <c r="U12" s="12" t="str">
        <f t="shared" si="8"/>
        <v>G2</v>
      </c>
      <c r="V12" s="12">
        <f t="shared" si="9"/>
        <v>0</v>
      </c>
      <c r="W12" s="13" t="s">
        <v>42</v>
      </c>
      <c r="X12" s="14">
        <v>0.7</v>
      </c>
      <c r="Y12" s="15">
        <f t="shared" si="10"/>
        <v>12.774999999999999</v>
      </c>
      <c r="Z12" s="16">
        <f t="shared" si="11"/>
        <v>-5.4750000000000014</v>
      </c>
    </row>
    <row r="13" spans="1:26" ht="15" customHeight="1" x14ac:dyDescent="0.2">
      <c r="A13" s="17" t="s">
        <v>41</v>
      </c>
      <c r="B13" s="18" t="s">
        <v>37</v>
      </c>
      <c r="C13" s="18" t="s">
        <v>38</v>
      </c>
      <c r="D13" s="13">
        <v>1</v>
      </c>
      <c r="E13" s="13">
        <v>2</v>
      </c>
      <c r="F13" s="13">
        <v>2</v>
      </c>
      <c r="G13" s="13">
        <v>2</v>
      </c>
      <c r="H13" s="13">
        <v>2</v>
      </c>
      <c r="I13" s="13">
        <v>1.5</v>
      </c>
      <c r="J13" s="13">
        <v>1</v>
      </c>
      <c r="K13" s="13">
        <f t="shared" si="0"/>
        <v>10</v>
      </c>
      <c r="L13" s="13">
        <f t="shared" si="1"/>
        <v>2</v>
      </c>
      <c r="M13" s="13">
        <f t="shared" si="2"/>
        <v>2</v>
      </c>
      <c r="N13" s="13">
        <f t="shared" si="3"/>
        <v>3</v>
      </c>
      <c r="O13" s="13">
        <f t="shared" si="4"/>
        <v>0.75</v>
      </c>
      <c r="P13" s="13">
        <f t="shared" si="5"/>
        <v>0.5</v>
      </c>
      <c r="Q13" s="19">
        <f t="shared" si="6"/>
        <v>18.25</v>
      </c>
      <c r="R13" s="15">
        <f t="shared" si="7"/>
        <v>18.25</v>
      </c>
      <c r="S13" s="10">
        <v>3</v>
      </c>
      <c r="T13" s="20">
        <v>0.62</v>
      </c>
      <c r="U13" s="21" t="str">
        <f t="shared" si="8"/>
        <v>G2</v>
      </c>
      <c r="V13" s="21">
        <f t="shared" si="9"/>
        <v>0</v>
      </c>
      <c r="W13" s="13" t="s">
        <v>42</v>
      </c>
      <c r="X13" s="14">
        <v>0.62</v>
      </c>
      <c r="Y13" s="15">
        <f t="shared" si="10"/>
        <v>11.315</v>
      </c>
      <c r="Z13" s="16">
        <f t="shared" si="11"/>
        <v>-6.9350000000000005</v>
      </c>
    </row>
    <row r="14" spans="1:26" ht="15" customHeight="1" x14ac:dyDescent="0.2">
      <c r="A14" s="5" t="s">
        <v>41</v>
      </c>
      <c r="B14" s="6" t="s">
        <v>46</v>
      </c>
      <c r="C14" s="6" t="s">
        <v>38</v>
      </c>
      <c r="D14" s="7">
        <v>1</v>
      </c>
      <c r="E14" s="7">
        <v>2</v>
      </c>
      <c r="F14" s="7">
        <v>2</v>
      </c>
      <c r="G14" s="7">
        <v>2</v>
      </c>
      <c r="H14" s="7">
        <v>2</v>
      </c>
      <c r="I14" s="7">
        <v>1.5</v>
      </c>
      <c r="J14" s="7">
        <v>1</v>
      </c>
      <c r="K14" s="7">
        <f t="shared" si="0"/>
        <v>10</v>
      </c>
      <c r="L14" s="7">
        <f t="shared" si="1"/>
        <v>2</v>
      </c>
      <c r="M14" s="7">
        <f t="shared" si="2"/>
        <v>2</v>
      </c>
      <c r="N14" s="7">
        <f t="shared" si="3"/>
        <v>3</v>
      </c>
      <c r="O14" s="7">
        <f t="shared" si="4"/>
        <v>0.75</v>
      </c>
      <c r="P14" s="7">
        <f t="shared" si="5"/>
        <v>0.5</v>
      </c>
      <c r="Q14" s="8">
        <f t="shared" si="6"/>
        <v>18.25</v>
      </c>
      <c r="R14" s="9">
        <f t="shared" si="7"/>
        <v>18.25</v>
      </c>
      <c r="S14" s="10">
        <v>3</v>
      </c>
      <c r="T14" s="11">
        <v>0.42</v>
      </c>
      <c r="U14" s="12" t="str">
        <f t="shared" si="8"/>
        <v>G2</v>
      </c>
      <c r="V14" s="12">
        <f t="shared" si="9"/>
        <v>0</v>
      </c>
      <c r="W14" s="13" t="s">
        <v>42</v>
      </c>
      <c r="X14" s="14">
        <v>0.62</v>
      </c>
      <c r="Y14" s="15">
        <f t="shared" si="10"/>
        <v>11.315</v>
      </c>
      <c r="Z14" s="16">
        <f t="shared" si="11"/>
        <v>-6.9350000000000005</v>
      </c>
    </row>
    <row r="15" spans="1:26" ht="15" customHeight="1" x14ac:dyDescent="0.2">
      <c r="A15" s="17" t="s">
        <v>41</v>
      </c>
      <c r="B15" s="18" t="s">
        <v>47</v>
      </c>
      <c r="C15" s="18" t="s">
        <v>28</v>
      </c>
      <c r="D15" s="13">
        <v>1.8</v>
      </c>
      <c r="E15" s="13">
        <v>2</v>
      </c>
      <c r="F15" s="13">
        <v>2</v>
      </c>
      <c r="G15" s="13">
        <v>2</v>
      </c>
      <c r="H15" s="13">
        <v>2</v>
      </c>
      <c r="I15" s="13">
        <v>1.5</v>
      </c>
      <c r="J15" s="13">
        <v>1</v>
      </c>
      <c r="K15" s="13">
        <f t="shared" si="0"/>
        <v>10</v>
      </c>
      <c r="L15" s="13">
        <f t="shared" si="1"/>
        <v>2</v>
      </c>
      <c r="M15" s="13">
        <f t="shared" si="2"/>
        <v>2</v>
      </c>
      <c r="N15" s="13">
        <f t="shared" si="3"/>
        <v>3</v>
      </c>
      <c r="O15" s="13">
        <f t="shared" si="4"/>
        <v>0.75</v>
      </c>
      <c r="P15" s="13">
        <f t="shared" si="5"/>
        <v>0.5</v>
      </c>
      <c r="Q15" s="19">
        <f t="shared" si="6"/>
        <v>18.25</v>
      </c>
      <c r="R15" s="15">
        <f t="shared" si="7"/>
        <v>32.85</v>
      </c>
      <c r="S15" s="10">
        <v>7</v>
      </c>
      <c r="T15" s="20">
        <v>0.23</v>
      </c>
      <c r="U15" s="21" t="str">
        <f t="shared" si="8"/>
        <v>G2-3</v>
      </c>
      <c r="V15" s="21">
        <f t="shared" si="9"/>
        <v>0</v>
      </c>
      <c r="W15" s="13" t="s">
        <v>42</v>
      </c>
      <c r="X15" s="14">
        <v>1.3</v>
      </c>
      <c r="Y15" s="15">
        <f t="shared" si="10"/>
        <v>42.705000000000005</v>
      </c>
      <c r="Z15" s="16">
        <f t="shared" si="11"/>
        <v>9.855000000000004</v>
      </c>
    </row>
    <row r="16" spans="1:26" ht="15" customHeight="1" x14ac:dyDescent="0.2">
      <c r="A16" s="5" t="s">
        <v>41</v>
      </c>
      <c r="B16" s="6" t="s">
        <v>48</v>
      </c>
      <c r="C16" s="6" t="s">
        <v>49</v>
      </c>
      <c r="D16" s="7">
        <v>1.5</v>
      </c>
      <c r="E16" s="7">
        <v>2</v>
      </c>
      <c r="F16" s="7">
        <v>2</v>
      </c>
      <c r="G16" s="7">
        <v>2</v>
      </c>
      <c r="H16" s="7">
        <v>2</v>
      </c>
      <c r="I16" s="7">
        <v>1.5</v>
      </c>
      <c r="J16" s="7">
        <v>1</v>
      </c>
      <c r="K16" s="7">
        <f t="shared" si="0"/>
        <v>10</v>
      </c>
      <c r="L16" s="7">
        <f t="shared" si="1"/>
        <v>2</v>
      </c>
      <c r="M16" s="7">
        <f t="shared" si="2"/>
        <v>2</v>
      </c>
      <c r="N16" s="7">
        <f t="shared" si="3"/>
        <v>3</v>
      </c>
      <c r="O16" s="7">
        <f t="shared" si="4"/>
        <v>0.75</v>
      </c>
      <c r="P16" s="7">
        <f t="shared" si="5"/>
        <v>0.5</v>
      </c>
      <c r="Q16" s="8">
        <f t="shared" si="6"/>
        <v>18.25</v>
      </c>
      <c r="R16" s="9">
        <f t="shared" si="7"/>
        <v>27.375</v>
      </c>
      <c r="S16" s="10">
        <v>3</v>
      </c>
      <c r="T16" s="11">
        <v>0.21</v>
      </c>
      <c r="U16" s="12" t="str">
        <f t="shared" si="8"/>
        <v>G2-3</v>
      </c>
      <c r="V16" s="12">
        <f t="shared" si="9"/>
        <v>0</v>
      </c>
      <c r="W16" s="13" t="s">
        <v>42</v>
      </c>
      <c r="X16" s="14">
        <v>0.2</v>
      </c>
      <c r="Y16" s="15">
        <f t="shared" si="10"/>
        <v>5.4750000000000005</v>
      </c>
      <c r="Z16" s="16">
        <f t="shared" si="11"/>
        <v>-21.9</v>
      </c>
    </row>
    <row r="17" spans="1:26" ht="15" customHeight="1" x14ac:dyDescent="0.2">
      <c r="A17" s="17" t="s">
        <v>50</v>
      </c>
      <c r="B17" s="18" t="s">
        <v>27</v>
      </c>
      <c r="C17" s="18" t="s">
        <v>28</v>
      </c>
      <c r="D17" s="13">
        <v>1.8</v>
      </c>
      <c r="E17" s="13">
        <v>1</v>
      </c>
      <c r="F17" s="13">
        <v>1.5</v>
      </c>
      <c r="G17" s="13">
        <v>1</v>
      </c>
      <c r="H17" s="13">
        <v>0.5</v>
      </c>
      <c r="I17" s="13">
        <v>0.5</v>
      </c>
      <c r="J17" s="13">
        <v>1.5</v>
      </c>
      <c r="K17" s="13">
        <f t="shared" si="0"/>
        <v>5</v>
      </c>
      <c r="L17" s="13">
        <f t="shared" si="1"/>
        <v>1.5</v>
      </c>
      <c r="M17" s="13">
        <f t="shared" si="2"/>
        <v>1</v>
      </c>
      <c r="N17" s="13">
        <f t="shared" si="3"/>
        <v>0.75</v>
      </c>
      <c r="O17" s="13">
        <f t="shared" si="4"/>
        <v>0.25</v>
      </c>
      <c r="P17" s="13">
        <f t="shared" si="5"/>
        <v>0.75</v>
      </c>
      <c r="Q17" s="19">
        <f t="shared" si="6"/>
        <v>9.25</v>
      </c>
      <c r="R17" s="15">
        <f t="shared" si="7"/>
        <v>16.650000000000002</v>
      </c>
      <c r="S17" s="10">
        <v>12.9</v>
      </c>
      <c r="T17" s="20">
        <v>0.69599999999999995</v>
      </c>
      <c r="U17" s="21" t="str">
        <f t="shared" si="8"/>
        <v>G1-2</v>
      </c>
      <c r="V17" s="21">
        <f t="shared" si="9"/>
        <v>1</v>
      </c>
      <c r="W17" s="13" t="s">
        <v>51</v>
      </c>
      <c r="X17" s="14">
        <v>0.65</v>
      </c>
      <c r="Y17" s="15">
        <f t="shared" si="10"/>
        <v>10.822500000000002</v>
      </c>
      <c r="Z17" s="16">
        <f t="shared" si="11"/>
        <v>-5.8275000000000006</v>
      </c>
    </row>
    <row r="18" spans="1:26" ht="15" customHeight="1" x14ac:dyDescent="0.2">
      <c r="A18" s="5" t="s">
        <v>50</v>
      </c>
      <c r="B18" s="6" t="s">
        <v>52</v>
      </c>
      <c r="C18" s="6" t="s">
        <v>33</v>
      </c>
      <c r="D18" s="7">
        <v>1.2</v>
      </c>
      <c r="E18" s="7">
        <v>1</v>
      </c>
      <c r="F18" s="7">
        <v>1.5</v>
      </c>
      <c r="G18" s="7">
        <v>1</v>
      </c>
      <c r="H18" s="7">
        <v>0.5</v>
      </c>
      <c r="I18" s="7">
        <v>0.5</v>
      </c>
      <c r="J18" s="7">
        <v>1.5</v>
      </c>
      <c r="K18" s="7">
        <f t="shared" si="0"/>
        <v>5</v>
      </c>
      <c r="L18" s="7">
        <f t="shared" si="1"/>
        <v>1.5</v>
      </c>
      <c r="M18" s="7">
        <f t="shared" si="2"/>
        <v>1</v>
      </c>
      <c r="N18" s="7">
        <f t="shared" si="3"/>
        <v>0.75</v>
      </c>
      <c r="O18" s="7">
        <f t="shared" si="4"/>
        <v>0.25</v>
      </c>
      <c r="P18" s="7">
        <f t="shared" si="5"/>
        <v>0.75</v>
      </c>
      <c r="Q18" s="8">
        <f t="shared" si="6"/>
        <v>9.25</v>
      </c>
      <c r="R18" s="9">
        <f t="shared" si="7"/>
        <v>11.1</v>
      </c>
      <c r="S18" s="10">
        <v>4.3</v>
      </c>
      <c r="T18" s="11">
        <v>0.35699999999999998</v>
      </c>
      <c r="U18" s="12" t="str">
        <f t="shared" si="8"/>
        <v>G1</v>
      </c>
      <c r="V18" s="12">
        <f t="shared" si="9"/>
        <v>0</v>
      </c>
      <c r="W18" s="13" t="s">
        <v>51</v>
      </c>
      <c r="X18" s="14">
        <v>0.48</v>
      </c>
      <c r="Y18" s="15">
        <f t="shared" si="10"/>
        <v>5.3279999999999994</v>
      </c>
      <c r="Z18" s="16">
        <f t="shared" si="11"/>
        <v>-5.7720000000000002</v>
      </c>
    </row>
    <row r="19" spans="1:26" ht="15" customHeight="1" x14ac:dyDescent="0.2">
      <c r="A19" s="17" t="s">
        <v>50</v>
      </c>
      <c r="B19" s="18" t="s">
        <v>53</v>
      </c>
      <c r="C19" s="18" t="s">
        <v>33</v>
      </c>
      <c r="D19" s="13">
        <v>1.2</v>
      </c>
      <c r="E19" s="13">
        <v>1</v>
      </c>
      <c r="F19" s="13">
        <v>1.5</v>
      </c>
      <c r="G19" s="13">
        <v>1</v>
      </c>
      <c r="H19" s="13">
        <v>0.5</v>
      </c>
      <c r="I19" s="13">
        <v>0.5</v>
      </c>
      <c r="J19" s="13">
        <v>1.5</v>
      </c>
      <c r="K19" s="13">
        <f t="shared" si="0"/>
        <v>5</v>
      </c>
      <c r="L19" s="13">
        <f t="shared" si="1"/>
        <v>1.5</v>
      </c>
      <c r="M19" s="13">
        <f t="shared" si="2"/>
        <v>1</v>
      </c>
      <c r="N19" s="13">
        <f t="shared" si="3"/>
        <v>0.75</v>
      </c>
      <c r="O19" s="13">
        <f t="shared" si="4"/>
        <v>0.25</v>
      </c>
      <c r="P19" s="13">
        <f t="shared" si="5"/>
        <v>0.75</v>
      </c>
      <c r="Q19" s="19">
        <f t="shared" si="6"/>
        <v>9.25</v>
      </c>
      <c r="R19" s="15">
        <f t="shared" si="7"/>
        <v>11.1</v>
      </c>
      <c r="S19" s="10">
        <v>3</v>
      </c>
      <c r="T19" s="20">
        <v>0.27500000000000002</v>
      </c>
      <c r="U19" s="21" t="str">
        <f t="shared" si="8"/>
        <v>G1</v>
      </c>
      <c r="V19" s="21">
        <f t="shared" si="9"/>
        <v>0</v>
      </c>
      <c r="W19" s="13" t="s">
        <v>51</v>
      </c>
      <c r="X19" s="14">
        <v>0.48</v>
      </c>
      <c r="Y19" s="15">
        <f t="shared" si="10"/>
        <v>5.3279999999999994</v>
      </c>
      <c r="Z19" s="16">
        <f t="shared" si="11"/>
        <v>-5.7720000000000002</v>
      </c>
    </row>
    <row r="20" spans="1:26" ht="15" customHeight="1" x14ac:dyDescent="0.2">
      <c r="A20" s="5" t="s">
        <v>50</v>
      </c>
      <c r="B20" s="6" t="s">
        <v>31</v>
      </c>
      <c r="C20" s="6" t="s">
        <v>28</v>
      </c>
      <c r="D20" s="7">
        <v>1.8</v>
      </c>
      <c r="E20" s="7">
        <v>1</v>
      </c>
      <c r="F20" s="7">
        <v>1.5</v>
      </c>
      <c r="G20" s="7">
        <v>1</v>
      </c>
      <c r="H20" s="7">
        <v>0.5</v>
      </c>
      <c r="I20" s="7">
        <v>0.5</v>
      </c>
      <c r="J20" s="7">
        <v>1.5</v>
      </c>
      <c r="K20" s="7">
        <f t="shared" si="0"/>
        <v>5</v>
      </c>
      <c r="L20" s="7">
        <f t="shared" si="1"/>
        <v>1.5</v>
      </c>
      <c r="M20" s="7">
        <f t="shared" si="2"/>
        <v>1</v>
      </c>
      <c r="N20" s="7">
        <f t="shared" si="3"/>
        <v>0.75</v>
      </c>
      <c r="O20" s="7">
        <f t="shared" si="4"/>
        <v>0.25</v>
      </c>
      <c r="P20" s="7">
        <f t="shared" si="5"/>
        <v>0.75</v>
      </c>
      <c r="Q20" s="8">
        <f t="shared" si="6"/>
        <v>9.25</v>
      </c>
      <c r="R20" s="9">
        <f t="shared" si="7"/>
        <v>16.650000000000002</v>
      </c>
      <c r="S20" s="10">
        <v>4.0999999999999996</v>
      </c>
      <c r="T20" s="11">
        <v>0.27500000000000002</v>
      </c>
      <c r="U20" s="12" t="str">
        <f t="shared" si="8"/>
        <v>G1-2</v>
      </c>
      <c r="V20" s="12">
        <f t="shared" si="9"/>
        <v>0</v>
      </c>
      <c r="W20" s="13" t="s">
        <v>51</v>
      </c>
      <c r="X20" s="14">
        <v>0.65</v>
      </c>
      <c r="Y20" s="15">
        <f t="shared" si="10"/>
        <v>10.822500000000002</v>
      </c>
      <c r="Z20" s="16">
        <f t="shared" si="11"/>
        <v>-5.8275000000000006</v>
      </c>
    </row>
    <row r="21" spans="1:26" ht="15" customHeight="1" x14ac:dyDescent="0.2">
      <c r="A21" s="17" t="s">
        <v>50</v>
      </c>
      <c r="B21" s="18" t="s">
        <v>37</v>
      </c>
      <c r="C21" s="18" t="s">
        <v>38</v>
      </c>
      <c r="D21" s="13">
        <v>1</v>
      </c>
      <c r="E21" s="13">
        <v>1</v>
      </c>
      <c r="F21" s="13">
        <v>1.5</v>
      </c>
      <c r="G21" s="13">
        <v>1</v>
      </c>
      <c r="H21" s="13">
        <v>0.5</v>
      </c>
      <c r="I21" s="13">
        <v>0.5</v>
      </c>
      <c r="J21" s="13">
        <v>1.5</v>
      </c>
      <c r="K21" s="13">
        <f t="shared" si="0"/>
        <v>5</v>
      </c>
      <c r="L21" s="13">
        <f t="shared" si="1"/>
        <v>1.5</v>
      </c>
      <c r="M21" s="13">
        <f t="shared" si="2"/>
        <v>1</v>
      </c>
      <c r="N21" s="13">
        <f t="shared" si="3"/>
        <v>0.75</v>
      </c>
      <c r="O21" s="13">
        <f t="shared" si="4"/>
        <v>0.25</v>
      </c>
      <c r="P21" s="13">
        <f t="shared" si="5"/>
        <v>0.75</v>
      </c>
      <c r="Q21" s="19">
        <f t="shared" si="6"/>
        <v>9.25</v>
      </c>
      <c r="R21" s="15">
        <f t="shared" si="7"/>
        <v>9.25</v>
      </c>
      <c r="S21" s="10">
        <v>1.8</v>
      </c>
      <c r="T21" s="20">
        <v>0.56399999999999995</v>
      </c>
      <c r="U21" s="21" t="str">
        <f t="shared" si="8"/>
        <v>G1</v>
      </c>
      <c r="V21" s="21">
        <f t="shared" si="9"/>
        <v>0</v>
      </c>
      <c r="W21" s="13" t="s">
        <v>51</v>
      </c>
      <c r="X21" s="14">
        <v>0.75</v>
      </c>
      <c r="Y21" s="15">
        <f t="shared" si="10"/>
        <v>6.9375</v>
      </c>
      <c r="Z21" s="16">
        <f t="shared" si="11"/>
        <v>-2.3125</v>
      </c>
    </row>
    <row r="22" spans="1:26" ht="15" customHeight="1" x14ac:dyDescent="0.2">
      <c r="A22" s="5" t="s">
        <v>50</v>
      </c>
      <c r="B22" s="6" t="s">
        <v>45</v>
      </c>
      <c r="C22" s="6" t="s">
        <v>36</v>
      </c>
      <c r="D22" s="7">
        <v>1</v>
      </c>
      <c r="E22" s="7">
        <v>1</v>
      </c>
      <c r="F22" s="7">
        <v>1.5</v>
      </c>
      <c r="G22" s="7">
        <v>1</v>
      </c>
      <c r="H22" s="7">
        <v>0.5</v>
      </c>
      <c r="I22" s="7">
        <v>0.5</v>
      </c>
      <c r="J22" s="7">
        <v>1.5</v>
      </c>
      <c r="K22" s="7">
        <f t="shared" si="0"/>
        <v>5</v>
      </c>
      <c r="L22" s="7">
        <f t="shared" si="1"/>
        <v>1.5</v>
      </c>
      <c r="M22" s="7">
        <f t="shared" si="2"/>
        <v>1</v>
      </c>
      <c r="N22" s="7">
        <f t="shared" si="3"/>
        <v>0.75</v>
      </c>
      <c r="O22" s="7">
        <f t="shared" si="4"/>
        <v>0.25</v>
      </c>
      <c r="P22" s="7">
        <f t="shared" si="5"/>
        <v>0.75</v>
      </c>
      <c r="Q22" s="8">
        <f t="shared" si="6"/>
        <v>9.25</v>
      </c>
      <c r="R22" s="9">
        <f t="shared" si="7"/>
        <v>9.25</v>
      </c>
      <c r="S22" s="10">
        <v>2.5</v>
      </c>
      <c r="T22" s="11">
        <v>0.53500000000000003</v>
      </c>
      <c r="U22" s="12" t="str">
        <f t="shared" si="8"/>
        <v>G1</v>
      </c>
      <c r="V22" s="12">
        <f t="shared" si="9"/>
        <v>0</v>
      </c>
      <c r="W22" s="13" t="s">
        <v>51</v>
      </c>
      <c r="X22" s="14">
        <v>0.71</v>
      </c>
      <c r="Y22" s="15">
        <f t="shared" si="10"/>
        <v>6.5674999999999999</v>
      </c>
      <c r="Z22" s="16">
        <f t="shared" si="11"/>
        <v>-2.6825000000000001</v>
      </c>
    </row>
    <row r="23" spans="1:26" ht="15" customHeight="1" x14ac:dyDescent="0.2">
      <c r="A23" s="17" t="s">
        <v>50</v>
      </c>
      <c r="B23" s="18" t="s">
        <v>54</v>
      </c>
      <c r="C23" s="18" t="s">
        <v>55</v>
      </c>
      <c r="D23" s="13">
        <v>1.9</v>
      </c>
      <c r="E23" s="13">
        <v>1</v>
      </c>
      <c r="F23" s="13">
        <v>1.5</v>
      </c>
      <c r="G23" s="13">
        <v>1</v>
      </c>
      <c r="H23" s="13">
        <v>0.5</v>
      </c>
      <c r="I23" s="13">
        <v>0.5</v>
      </c>
      <c r="J23" s="13">
        <v>1.5</v>
      </c>
      <c r="K23" s="13">
        <f t="shared" si="0"/>
        <v>5</v>
      </c>
      <c r="L23" s="13">
        <f t="shared" si="1"/>
        <v>1.5</v>
      </c>
      <c r="M23" s="13">
        <f t="shared" si="2"/>
        <v>1</v>
      </c>
      <c r="N23" s="13">
        <f t="shared" si="3"/>
        <v>0.75</v>
      </c>
      <c r="O23" s="13">
        <f t="shared" si="4"/>
        <v>0.25</v>
      </c>
      <c r="P23" s="13">
        <f t="shared" si="5"/>
        <v>0.75</v>
      </c>
      <c r="Q23" s="19">
        <f t="shared" si="6"/>
        <v>9.25</v>
      </c>
      <c r="R23" s="15">
        <f t="shared" si="7"/>
        <v>17.574999999999999</v>
      </c>
      <c r="S23" s="10">
        <v>0.2</v>
      </c>
      <c r="T23" s="20">
        <v>2.8000000000000001E-2</v>
      </c>
      <c r="U23" s="21" t="str">
        <f t="shared" si="8"/>
        <v>G1-2</v>
      </c>
      <c r="V23" s="21">
        <f t="shared" si="9"/>
        <v>0</v>
      </c>
      <c r="W23" s="13" t="s">
        <v>51</v>
      </c>
      <c r="X23" s="14">
        <v>0.2</v>
      </c>
      <c r="Y23" s="15">
        <f t="shared" si="10"/>
        <v>3.5150000000000001</v>
      </c>
      <c r="Z23" s="16">
        <f t="shared" si="11"/>
        <v>-14.059999999999999</v>
      </c>
    </row>
    <row r="24" spans="1:26" ht="15" customHeight="1" x14ac:dyDescent="0.2">
      <c r="A24" s="5" t="s">
        <v>50</v>
      </c>
      <c r="B24" s="6" t="s">
        <v>43</v>
      </c>
      <c r="C24" s="6" t="s">
        <v>44</v>
      </c>
      <c r="D24" s="7">
        <v>2</v>
      </c>
      <c r="E24" s="7">
        <v>1</v>
      </c>
      <c r="F24" s="7">
        <v>1.5</v>
      </c>
      <c r="G24" s="7">
        <v>1</v>
      </c>
      <c r="H24" s="7">
        <v>0.5</v>
      </c>
      <c r="I24" s="7">
        <v>0.5</v>
      </c>
      <c r="J24" s="7">
        <v>1.5</v>
      </c>
      <c r="K24" s="7">
        <f t="shared" si="0"/>
        <v>5</v>
      </c>
      <c r="L24" s="7">
        <f t="shared" si="1"/>
        <v>1.5</v>
      </c>
      <c r="M24" s="7">
        <f t="shared" si="2"/>
        <v>1</v>
      </c>
      <c r="N24" s="7">
        <f t="shared" si="3"/>
        <v>0.75</v>
      </c>
      <c r="O24" s="7">
        <f t="shared" si="4"/>
        <v>0.25</v>
      </c>
      <c r="P24" s="7">
        <f t="shared" si="5"/>
        <v>0.75</v>
      </c>
      <c r="Q24" s="8">
        <f t="shared" si="6"/>
        <v>9.25</v>
      </c>
      <c r="R24" s="9">
        <f t="shared" si="7"/>
        <v>18.5</v>
      </c>
      <c r="S24" s="10">
        <v>1</v>
      </c>
      <c r="T24" s="11">
        <v>0.19</v>
      </c>
      <c r="U24" s="12" t="str">
        <f t="shared" si="8"/>
        <v>G2</v>
      </c>
      <c r="V24" s="12">
        <f t="shared" si="9"/>
        <v>0</v>
      </c>
      <c r="W24" s="13" t="s">
        <v>51</v>
      </c>
      <c r="X24" s="14">
        <v>0.25</v>
      </c>
      <c r="Y24" s="15">
        <f t="shared" si="10"/>
        <v>4.625</v>
      </c>
      <c r="Z24" s="16">
        <f t="shared" si="11"/>
        <v>-13.875</v>
      </c>
    </row>
    <row r="25" spans="1:26" ht="15" customHeight="1" x14ac:dyDescent="0.2">
      <c r="A25" s="17" t="s">
        <v>56</v>
      </c>
      <c r="B25" s="18" t="s">
        <v>27</v>
      </c>
      <c r="C25" s="18" t="s">
        <v>28</v>
      </c>
      <c r="D25" s="13">
        <v>1.8</v>
      </c>
      <c r="E25" s="13">
        <v>3</v>
      </c>
      <c r="F25" s="13">
        <v>3</v>
      </c>
      <c r="G25" s="13">
        <v>0.5</v>
      </c>
      <c r="H25" s="13">
        <v>0.5</v>
      </c>
      <c r="I25" s="13">
        <v>3</v>
      </c>
      <c r="J25" s="13">
        <v>0.5</v>
      </c>
      <c r="K25" s="13">
        <f t="shared" si="0"/>
        <v>15</v>
      </c>
      <c r="L25" s="13">
        <f t="shared" si="1"/>
        <v>3</v>
      </c>
      <c r="M25" s="13">
        <f t="shared" si="2"/>
        <v>0.5</v>
      </c>
      <c r="N25" s="13">
        <f t="shared" si="3"/>
        <v>0.75</v>
      </c>
      <c r="O25" s="13">
        <f t="shared" si="4"/>
        <v>1.5</v>
      </c>
      <c r="P25" s="13">
        <f t="shared" si="5"/>
        <v>0.25</v>
      </c>
      <c r="Q25" s="19">
        <f t="shared" si="6"/>
        <v>21</v>
      </c>
      <c r="R25" s="15">
        <f t="shared" si="7"/>
        <v>37.800000000000004</v>
      </c>
      <c r="S25" s="10">
        <v>45</v>
      </c>
      <c r="T25" s="20">
        <v>1.64</v>
      </c>
      <c r="U25" s="21" t="str">
        <f t="shared" si="8"/>
        <v>G3</v>
      </c>
      <c r="V25" s="21">
        <f t="shared" si="9"/>
        <v>1</v>
      </c>
      <c r="W25" s="13" t="s">
        <v>29</v>
      </c>
      <c r="X25" s="14">
        <v>2.81</v>
      </c>
      <c r="Y25" s="15">
        <f t="shared" si="10"/>
        <v>106.21800000000002</v>
      </c>
      <c r="Z25" s="16">
        <f t="shared" si="11"/>
        <v>68.418000000000006</v>
      </c>
    </row>
    <row r="26" spans="1:26" ht="15" customHeight="1" x14ac:dyDescent="0.2">
      <c r="A26" s="5" t="s">
        <v>56</v>
      </c>
      <c r="B26" s="6" t="s">
        <v>30</v>
      </c>
      <c r="C26" s="6" t="s">
        <v>28</v>
      </c>
      <c r="D26" s="7">
        <v>1.8</v>
      </c>
      <c r="E26" s="7">
        <v>3</v>
      </c>
      <c r="F26" s="7">
        <v>3</v>
      </c>
      <c r="G26" s="7">
        <v>0.5</v>
      </c>
      <c r="H26" s="7">
        <v>0.5</v>
      </c>
      <c r="I26" s="7">
        <v>3</v>
      </c>
      <c r="J26" s="7">
        <v>0.5</v>
      </c>
      <c r="K26" s="7">
        <f t="shared" si="0"/>
        <v>15</v>
      </c>
      <c r="L26" s="7">
        <f t="shared" si="1"/>
        <v>3</v>
      </c>
      <c r="M26" s="7">
        <f t="shared" si="2"/>
        <v>0.5</v>
      </c>
      <c r="N26" s="7">
        <f t="shared" si="3"/>
        <v>0.75</v>
      </c>
      <c r="O26" s="7">
        <f t="shared" si="4"/>
        <v>1.5</v>
      </c>
      <c r="P26" s="7">
        <f t="shared" si="5"/>
        <v>0.25</v>
      </c>
      <c r="Q26" s="8">
        <f t="shared" si="6"/>
        <v>21</v>
      </c>
      <c r="R26" s="9">
        <f t="shared" si="7"/>
        <v>37.800000000000004</v>
      </c>
      <c r="S26" s="10">
        <v>49</v>
      </c>
      <c r="T26" s="11">
        <v>1.71</v>
      </c>
      <c r="U26" s="12" t="str">
        <f t="shared" si="8"/>
        <v>G3</v>
      </c>
      <c r="V26" s="12">
        <f t="shared" si="9"/>
        <v>1</v>
      </c>
      <c r="W26" s="13" t="s">
        <v>29</v>
      </c>
      <c r="X26" s="14">
        <v>2.81</v>
      </c>
      <c r="Y26" s="15">
        <f t="shared" si="10"/>
        <v>106.21800000000002</v>
      </c>
      <c r="Z26" s="16">
        <f t="shared" si="11"/>
        <v>68.418000000000006</v>
      </c>
    </row>
    <row r="27" spans="1:26" ht="15" customHeight="1" x14ac:dyDescent="0.2">
      <c r="A27" s="17" t="s">
        <v>56</v>
      </c>
      <c r="B27" s="18" t="s">
        <v>31</v>
      </c>
      <c r="C27" s="18" t="s">
        <v>28</v>
      </c>
      <c r="D27" s="13">
        <v>1.8</v>
      </c>
      <c r="E27" s="13">
        <v>3</v>
      </c>
      <c r="F27" s="13">
        <v>3</v>
      </c>
      <c r="G27" s="13">
        <v>0.5</v>
      </c>
      <c r="H27" s="13">
        <v>0.5</v>
      </c>
      <c r="I27" s="13">
        <v>3</v>
      </c>
      <c r="J27" s="13">
        <v>0.5</v>
      </c>
      <c r="K27" s="13">
        <f t="shared" si="0"/>
        <v>15</v>
      </c>
      <c r="L27" s="13">
        <f t="shared" si="1"/>
        <v>3</v>
      </c>
      <c r="M27" s="13">
        <f t="shared" si="2"/>
        <v>0.5</v>
      </c>
      <c r="N27" s="13">
        <f t="shared" si="3"/>
        <v>0.75</v>
      </c>
      <c r="O27" s="13">
        <f t="shared" si="4"/>
        <v>1.5</v>
      </c>
      <c r="P27" s="13">
        <f t="shared" si="5"/>
        <v>0.25</v>
      </c>
      <c r="Q27" s="19">
        <f t="shared" si="6"/>
        <v>21</v>
      </c>
      <c r="R27" s="15">
        <f t="shared" si="7"/>
        <v>37.800000000000004</v>
      </c>
      <c r="S27" s="10">
        <v>24</v>
      </c>
      <c r="T27" s="20">
        <v>0.96</v>
      </c>
      <c r="U27" s="21" t="str">
        <f t="shared" si="8"/>
        <v>G3</v>
      </c>
      <c r="V27" s="21">
        <f t="shared" si="9"/>
        <v>1</v>
      </c>
      <c r="W27" s="13" t="s">
        <v>29</v>
      </c>
      <c r="X27" s="14">
        <v>2.81</v>
      </c>
      <c r="Y27" s="15">
        <f t="shared" si="10"/>
        <v>106.21800000000002</v>
      </c>
      <c r="Z27" s="16">
        <f t="shared" si="11"/>
        <v>68.418000000000006</v>
      </c>
    </row>
    <row r="28" spans="1:26" ht="15" customHeight="1" x14ac:dyDescent="0.2">
      <c r="A28" s="5" t="s">
        <v>56</v>
      </c>
      <c r="B28" s="6" t="s">
        <v>32</v>
      </c>
      <c r="C28" s="6" t="s">
        <v>33</v>
      </c>
      <c r="D28" s="7">
        <v>1.2</v>
      </c>
      <c r="E28" s="7">
        <v>3</v>
      </c>
      <c r="F28" s="7">
        <v>3</v>
      </c>
      <c r="G28" s="7">
        <v>0.5</v>
      </c>
      <c r="H28" s="7">
        <v>0.5</v>
      </c>
      <c r="I28" s="7">
        <v>3</v>
      </c>
      <c r="J28" s="7">
        <v>0.5</v>
      </c>
      <c r="K28" s="7">
        <f t="shared" si="0"/>
        <v>15</v>
      </c>
      <c r="L28" s="7">
        <f t="shared" si="1"/>
        <v>3</v>
      </c>
      <c r="M28" s="7">
        <f t="shared" si="2"/>
        <v>0.5</v>
      </c>
      <c r="N28" s="7">
        <f t="shared" si="3"/>
        <v>0.75</v>
      </c>
      <c r="O28" s="7">
        <f t="shared" si="4"/>
        <v>1.5</v>
      </c>
      <c r="P28" s="7">
        <f t="shared" si="5"/>
        <v>0.25</v>
      </c>
      <c r="Q28" s="8">
        <f t="shared" si="6"/>
        <v>21</v>
      </c>
      <c r="R28" s="9">
        <f t="shared" si="7"/>
        <v>25.2</v>
      </c>
      <c r="S28" s="10">
        <v>14</v>
      </c>
      <c r="T28" s="11">
        <v>0.51</v>
      </c>
      <c r="U28" s="12" t="str">
        <f t="shared" si="8"/>
        <v>G2-3</v>
      </c>
      <c r="V28" s="12">
        <f t="shared" si="9"/>
        <v>1</v>
      </c>
      <c r="W28" s="13" t="s">
        <v>29</v>
      </c>
      <c r="X28" s="14">
        <v>0.57999999999999996</v>
      </c>
      <c r="Y28" s="15">
        <f t="shared" si="10"/>
        <v>14.615999999999998</v>
      </c>
      <c r="Z28" s="16">
        <f t="shared" si="11"/>
        <v>-10.584000000000001</v>
      </c>
    </row>
    <row r="29" spans="1:26" ht="15" customHeight="1" x14ac:dyDescent="0.2">
      <c r="A29" s="17" t="s">
        <v>56</v>
      </c>
      <c r="B29" s="18" t="s">
        <v>34</v>
      </c>
      <c r="C29" s="18" t="s">
        <v>33</v>
      </c>
      <c r="D29" s="13">
        <v>1.2</v>
      </c>
      <c r="E29" s="13">
        <v>3</v>
      </c>
      <c r="F29" s="13">
        <v>3</v>
      </c>
      <c r="G29" s="13">
        <v>0.5</v>
      </c>
      <c r="H29" s="13">
        <v>0.5</v>
      </c>
      <c r="I29" s="13">
        <v>3</v>
      </c>
      <c r="J29" s="13">
        <v>0.5</v>
      </c>
      <c r="K29" s="13">
        <f t="shared" si="0"/>
        <v>15</v>
      </c>
      <c r="L29" s="13">
        <f t="shared" si="1"/>
        <v>3</v>
      </c>
      <c r="M29" s="13">
        <f t="shared" si="2"/>
        <v>0.5</v>
      </c>
      <c r="N29" s="13">
        <f t="shared" si="3"/>
        <v>0.75</v>
      </c>
      <c r="O29" s="13">
        <f t="shared" si="4"/>
        <v>1.5</v>
      </c>
      <c r="P29" s="13">
        <f t="shared" si="5"/>
        <v>0.25</v>
      </c>
      <c r="Q29" s="19">
        <f t="shared" si="6"/>
        <v>21</v>
      </c>
      <c r="R29" s="15">
        <f t="shared" si="7"/>
        <v>25.2</v>
      </c>
      <c r="S29" s="10">
        <v>5</v>
      </c>
      <c r="T29" s="20">
        <v>0.36</v>
      </c>
      <c r="U29" s="21" t="str">
        <f t="shared" si="8"/>
        <v>G2-3</v>
      </c>
      <c r="V29" s="21">
        <f t="shared" si="9"/>
        <v>0</v>
      </c>
      <c r="W29" s="13" t="s">
        <v>29</v>
      </c>
      <c r="X29" s="14">
        <v>0.57999999999999996</v>
      </c>
      <c r="Y29" s="15">
        <f t="shared" si="10"/>
        <v>14.615999999999998</v>
      </c>
      <c r="Z29" s="16">
        <f t="shared" si="11"/>
        <v>-10.584000000000001</v>
      </c>
    </row>
    <row r="30" spans="1:26" ht="15" customHeight="1" x14ac:dyDescent="0.2">
      <c r="A30" s="5" t="s">
        <v>56</v>
      </c>
      <c r="B30" s="6" t="s">
        <v>35</v>
      </c>
      <c r="C30" s="6" t="s">
        <v>36</v>
      </c>
      <c r="D30" s="7">
        <v>1</v>
      </c>
      <c r="E30" s="7">
        <v>3</v>
      </c>
      <c r="F30" s="7">
        <v>3</v>
      </c>
      <c r="G30" s="7">
        <v>0.5</v>
      </c>
      <c r="H30" s="7">
        <v>0.5</v>
      </c>
      <c r="I30" s="7">
        <v>3</v>
      </c>
      <c r="J30" s="7">
        <v>0.5</v>
      </c>
      <c r="K30" s="7">
        <f t="shared" si="0"/>
        <v>15</v>
      </c>
      <c r="L30" s="7">
        <f t="shared" si="1"/>
        <v>3</v>
      </c>
      <c r="M30" s="7">
        <f t="shared" si="2"/>
        <v>0.5</v>
      </c>
      <c r="N30" s="7">
        <f t="shared" si="3"/>
        <v>0.75</v>
      </c>
      <c r="O30" s="7">
        <f t="shared" si="4"/>
        <v>1.5</v>
      </c>
      <c r="P30" s="7">
        <f t="shared" si="5"/>
        <v>0.25</v>
      </c>
      <c r="Q30" s="8">
        <f t="shared" si="6"/>
        <v>21</v>
      </c>
      <c r="R30" s="9">
        <f t="shared" si="7"/>
        <v>21</v>
      </c>
      <c r="S30" s="10">
        <v>3</v>
      </c>
      <c r="T30" s="11">
        <v>0.4</v>
      </c>
      <c r="U30" s="12" t="str">
        <f t="shared" si="8"/>
        <v>G2</v>
      </c>
      <c r="V30" s="12">
        <f t="shared" si="9"/>
        <v>0</v>
      </c>
      <c r="W30" s="13" t="s">
        <v>29</v>
      </c>
      <c r="X30" s="14">
        <v>1.86</v>
      </c>
      <c r="Y30" s="15">
        <f t="shared" si="10"/>
        <v>39.06</v>
      </c>
      <c r="Z30" s="16">
        <f t="shared" si="11"/>
        <v>18.060000000000002</v>
      </c>
    </row>
    <row r="31" spans="1:26" ht="15" customHeight="1" x14ac:dyDescent="0.2">
      <c r="A31" s="17" t="s">
        <v>56</v>
      </c>
      <c r="B31" s="18" t="s">
        <v>57</v>
      </c>
      <c r="C31" s="18" t="s">
        <v>33</v>
      </c>
      <c r="D31" s="13">
        <v>1.2</v>
      </c>
      <c r="E31" s="13">
        <v>3</v>
      </c>
      <c r="F31" s="13">
        <v>3</v>
      </c>
      <c r="G31" s="13">
        <v>0.5</v>
      </c>
      <c r="H31" s="13">
        <v>0.5</v>
      </c>
      <c r="I31" s="13">
        <v>3</v>
      </c>
      <c r="J31" s="13">
        <v>0.5</v>
      </c>
      <c r="K31" s="13">
        <f t="shared" si="0"/>
        <v>15</v>
      </c>
      <c r="L31" s="13">
        <f t="shared" si="1"/>
        <v>3</v>
      </c>
      <c r="M31" s="13">
        <f t="shared" si="2"/>
        <v>0.5</v>
      </c>
      <c r="N31" s="13">
        <f t="shared" si="3"/>
        <v>0.75</v>
      </c>
      <c r="O31" s="13">
        <f t="shared" si="4"/>
        <v>1.5</v>
      </c>
      <c r="P31" s="13">
        <f t="shared" si="5"/>
        <v>0.25</v>
      </c>
      <c r="Q31" s="19">
        <f t="shared" si="6"/>
        <v>21</v>
      </c>
      <c r="R31" s="15">
        <f t="shared" si="7"/>
        <v>25.2</v>
      </c>
      <c r="S31" s="10">
        <v>6</v>
      </c>
      <c r="T31" s="20">
        <v>0.33</v>
      </c>
      <c r="U31" s="21" t="str">
        <f t="shared" si="8"/>
        <v>G2-3</v>
      </c>
      <c r="V31" s="21">
        <f t="shared" si="9"/>
        <v>0</v>
      </c>
      <c r="W31" s="13" t="s">
        <v>29</v>
      </c>
      <c r="X31" s="14">
        <v>0.57999999999999996</v>
      </c>
      <c r="Y31" s="15">
        <f t="shared" si="10"/>
        <v>14.615999999999998</v>
      </c>
      <c r="Z31" s="16">
        <f t="shared" si="11"/>
        <v>-10.584000000000001</v>
      </c>
    </row>
    <row r="32" spans="1:26" ht="15" customHeight="1" x14ac:dyDescent="0.2">
      <c r="A32" s="5" t="s">
        <v>58</v>
      </c>
      <c r="B32" s="6" t="s">
        <v>30</v>
      </c>
      <c r="C32" s="6" t="s">
        <v>28</v>
      </c>
      <c r="D32" s="7">
        <v>1.8</v>
      </c>
      <c r="E32" s="7">
        <v>1.5</v>
      </c>
      <c r="F32" s="7">
        <v>1.5</v>
      </c>
      <c r="G32" s="7">
        <v>2</v>
      </c>
      <c r="H32" s="7">
        <v>2</v>
      </c>
      <c r="I32" s="7">
        <v>1.5</v>
      </c>
      <c r="J32" s="7">
        <v>0.5</v>
      </c>
      <c r="K32" s="7">
        <f t="shared" si="0"/>
        <v>7.5</v>
      </c>
      <c r="L32" s="7">
        <f t="shared" si="1"/>
        <v>1.5</v>
      </c>
      <c r="M32" s="7">
        <f t="shared" si="2"/>
        <v>2</v>
      </c>
      <c r="N32" s="7">
        <f t="shared" si="3"/>
        <v>3</v>
      </c>
      <c r="O32" s="7">
        <f t="shared" si="4"/>
        <v>0.75</v>
      </c>
      <c r="P32" s="7">
        <f t="shared" si="5"/>
        <v>0.25</v>
      </c>
      <c r="Q32" s="8">
        <f t="shared" si="6"/>
        <v>15</v>
      </c>
      <c r="R32" s="9">
        <f t="shared" si="7"/>
        <v>27</v>
      </c>
      <c r="S32" s="10">
        <v>28</v>
      </c>
      <c r="T32" s="11">
        <v>1.48</v>
      </c>
      <c r="U32" s="12" t="str">
        <f t="shared" si="8"/>
        <v>G2-3</v>
      </c>
      <c r="V32" s="12">
        <f t="shared" si="9"/>
        <v>1</v>
      </c>
      <c r="W32" s="13" t="s">
        <v>42</v>
      </c>
      <c r="X32" s="14">
        <v>1.3</v>
      </c>
      <c r="Y32" s="15">
        <f t="shared" si="10"/>
        <v>35.1</v>
      </c>
      <c r="Z32" s="16">
        <f t="shared" si="11"/>
        <v>8.1000000000000014</v>
      </c>
    </row>
    <row r="33" spans="1:26" ht="15" customHeight="1" x14ac:dyDescent="0.2">
      <c r="A33" s="17" t="s">
        <v>58</v>
      </c>
      <c r="B33" s="18" t="s">
        <v>43</v>
      </c>
      <c r="C33" s="18" t="s">
        <v>44</v>
      </c>
      <c r="D33" s="13">
        <v>2</v>
      </c>
      <c r="E33" s="13">
        <v>1.5</v>
      </c>
      <c r="F33" s="13">
        <v>1.5</v>
      </c>
      <c r="G33" s="13">
        <v>2</v>
      </c>
      <c r="H33" s="13">
        <v>2</v>
      </c>
      <c r="I33" s="13">
        <v>1.5</v>
      </c>
      <c r="J33" s="13">
        <v>0.5</v>
      </c>
      <c r="K33" s="13">
        <f t="shared" si="0"/>
        <v>7.5</v>
      </c>
      <c r="L33" s="13">
        <f t="shared" si="1"/>
        <v>1.5</v>
      </c>
      <c r="M33" s="13">
        <f t="shared" si="2"/>
        <v>2</v>
      </c>
      <c r="N33" s="13">
        <f t="shared" si="3"/>
        <v>3</v>
      </c>
      <c r="O33" s="13">
        <f t="shared" si="4"/>
        <v>0.75</v>
      </c>
      <c r="P33" s="13">
        <f t="shared" si="5"/>
        <v>0.25</v>
      </c>
      <c r="Q33" s="19">
        <f t="shared" si="6"/>
        <v>15</v>
      </c>
      <c r="R33" s="15">
        <f t="shared" si="7"/>
        <v>30</v>
      </c>
      <c r="S33" s="10">
        <v>3</v>
      </c>
      <c r="T33" s="20">
        <v>0.6</v>
      </c>
      <c r="U33" s="21" t="str">
        <f t="shared" si="8"/>
        <v>G2-3</v>
      </c>
      <c r="V33" s="21">
        <f t="shared" si="9"/>
        <v>0</v>
      </c>
      <c r="W33" s="13" t="s">
        <v>42</v>
      </c>
      <c r="X33" s="14">
        <v>0.91</v>
      </c>
      <c r="Y33" s="15">
        <f t="shared" si="10"/>
        <v>27.3</v>
      </c>
      <c r="Z33" s="16">
        <f t="shared" si="11"/>
        <v>-2.6999999999999993</v>
      </c>
    </row>
    <row r="34" spans="1:26" ht="15" customHeight="1" x14ac:dyDescent="0.2">
      <c r="A34" s="5" t="s">
        <v>58</v>
      </c>
      <c r="B34" s="6" t="s">
        <v>31</v>
      </c>
      <c r="C34" s="6" t="s">
        <v>28</v>
      </c>
      <c r="D34" s="7">
        <v>1.8</v>
      </c>
      <c r="E34" s="7">
        <v>1.5</v>
      </c>
      <c r="F34" s="7">
        <v>1.5</v>
      </c>
      <c r="G34" s="7">
        <v>2</v>
      </c>
      <c r="H34" s="7">
        <v>2</v>
      </c>
      <c r="I34" s="7">
        <v>1.5</v>
      </c>
      <c r="J34" s="7">
        <v>0.5</v>
      </c>
      <c r="K34" s="7">
        <f t="shared" ref="K34:K65" si="12">5*E34</f>
        <v>7.5</v>
      </c>
      <c r="L34" s="7">
        <f t="shared" ref="L34:L65" si="13">1*F34</f>
        <v>1.5</v>
      </c>
      <c r="M34" s="7">
        <f t="shared" ref="M34:M65" si="14">1*G34</f>
        <v>2</v>
      </c>
      <c r="N34" s="7">
        <f t="shared" ref="N34:N65" si="15">1.5*H34</f>
        <v>3</v>
      </c>
      <c r="O34" s="7">
        <f t="shared" ref="O34:O65" si="16">0.5*I34</f>
        <v>0.75</v>
      </c>
      <c r="P34" s="7">
        <f t="shared" ref="P34:P65" si="17">0.5*J34</f>
        <v>0.25</v>
      </c>
      <c r="Q34" s="8">
        <f t="shared" ref="Q34:Q65" si="18">SUM(K34:P34)</f>
        <v>15</v>
      </c>
      <c r="R34" s="9">
        <f t="shared" ref="R34:R65" si="19">Q34*D34</f>
        <v>27</v>
      </c>
      <c r="S34" s="10">
        <v>8</v>
      </c>
      <c r="T34" s="11">
        <v>0.62</v>
      </c>
      <c r="U34" s="12" t="str">
        <f t="shared" ref="U34:U65" si="20">IF(R34&lt;12,"G1",IF(R34&lt;18,"G1-2",IF(R34&lt;25,"G2",IF(R34&lt;35,"G2-3",IF(R34&lt;45,"G3","G3-4")))))</f>
        <v>G2-3</v>
      </c>
      <c r="V34" s="12">
        <f t="shared" ref="V34:V65" si="21">IF(S34&gt;=10,1,0)</f>
        <v>0</v>
      </c>
      <c r="W34" s="13" t="s">
        <v>42</v>
      </c>
      <c r="X34" s="14">
        <v>1.3</v>
      </c>
      <c r="Y34" s="15">
        <f t="shared" ref="Y34:Y65" si="22">Q34*D34*X34</f>
        <v>35.1</v>
      </c>
      <c r="Z34" s="16">
        <f t="shared" ref="Z34:Z65" si="23">Y34-R34</f>
        <v>8.1000000000000014</v>
      </c>
    </row>
    <row r="35" spans="1:26" ht="15" customHeight="1" x14ac:dyDescent="0.2">
      <c r="A35" s="17" t="s">
        <v>58</v>
      </c>
      <c r="B35" s="18" t="s">
        <v>46</v>
      </c>
      <c r="C35" s="18" t="s">
        <v>38</v>
      </c>
      <c r="D35" s="13">
        <v>1</v>
      </c>
      <c r="E35" s="13">
        <v>1.5</v>
      </c>
      <c r="F35" s="13">
        <v>1.5</v>
      </c>
      <c r="G35" s="13">
        <v>2</v>
      </c>
      <c r="H35" s="13">
        <v>2</v>
      </c>
      <c r="I35" s="13">
        <v>1.5</v>
      </c>
      <c r="J35" s="13">
        <v>0.5</v>
      </c>
      <c r="K35" s="13">
        <f t="shared" si="12"/>
        <v>7.5</v>
      </c>
      <c r="L35" s="13">
        <f t="shared" si="13"/>
        <v>1.5</v>
      </c>
      <c r="M35" s="13">
        <f t="shared" si="14"/>
        <v>2</v>
      </c>
      <c r="N35" s="13">
        <f t="shared" si="15"/>
        <v>3</v>
      </c>
      <c r="O35" s="13">
        <f t="shared" si="16"/>
        <v>0.75</v>
      </c>
      <c r="P35" s="13">
        <f t="shared" si="17"/>
        <v>0.25</v>
      </c>
      <c r="Q35" s="19">
        <f t="shared" si="18"/>
        <v>15</v>
      </c>
      <c r="R35" s="15">
        <f t="shared" si="19"/>
        <v>15</v>
      </c>
      <c r="S35" s="10">
        <v>2</v>
      </c>
      <c r="T35" s="20">
        <v>0.4</v>
      </c>
      <c r="U35" s="21" t="str">
        <f t="shared" si="20"/>
        <v>G1-2</v>
      </c>
      <c r="V35" s="21">
        <f t="shared" si="21"/>
        <v>0</v>
      </c>
      <c r="W35" s="13" t="s">
        <v>42</v>
      </c>
      <c r="X35" s="14">
        <v>0.62</v>
      </c>
      <c r="Y35" s="15">
        <f t="shared" si="22"/>
        <v>9.3000000000000007</v>
      </c>
      <c r="Z35" s="16">
        <f t="shared" si="23"/>
        <v>-5.6999999999999993</v>
      </c>
    </row>
    <row r="36" spans="1:26" ht="15" customHeight="1" x14ac:dyDescent="0.2">
      <c r="A36" s="5" t="s">
        <v>58</v>
      </c>
      <c r="B36" s="6" t="s">
        <v>27</v>
      </c>
      <c r="C36" s="6" t="s">
        <v>28</v>
      </c>
      <c r="D36" s="7">
        <v>1.8</v>
      </c>
      <c r="E36" s="7">
        <v>1.5</v>
      </c>
      <c r="F36" s="7">
        <v>1.5</v>
      </c>
      <c r="G36" s="7">
        <v>2</v>
      </c>
      <c r="H36" s="7">
        <v>2</v>
      </c>
      <c r="I36" s="7">
        <v>1.5</v>
      </c>
      <c r="J36" s="7">
        <v>0.5</v>
      </c>
      <c r="K36" s="7">
        <f t="shared" si="12"/>
        <v>7.5</v>
      </c>
      <c r="L36" s="7">
        <f t="shared" si="13"/>
        <v>1.5</v>
      </c>
      <c r="M36" s="7">
        <f t="shared" si="14"/>
        <v>2</v>
      </c>
      <c r="N36" s="7">
        <f t="shared" si="15"/>
        <v>3</v>
      </c>
      <c r="O36" s="7">
        <f t="shared" si="16"/>
        <v>0.75</v>
      </c>
      <c r="P36" s="7">
        <f t="shared" si="17"/>
        <v>0.25</v>
      </c>
      <c r="Q36" s="8">
        <f t="shared" si="18"/>
        <v>15</v>
      </c>
      <c r="R36" s="9">
        <f t="shared" si="19"/>
        <v>27</v>
      </c>
      <c r="S36" s="10">
        <v>8</v>
      </c>
      <c r="T36" s="11">
        <v>0.42</v>
      </c>
      <c r="U36" s="12" t="str">
        <f t="shared" si="20"/>
        <v>G2-3</v>
      </c>
      <c r="V36" s="12">
        <f t="shared" si="21"/>
        <v>0</v>
      </c>
      <c r="W36" s="13" t="s">
        <v>42</v>
      </c>
      <c r="X36" s="14">
        <v>1.3</v>
      </c>
      <c r="Y36" s="15">
        <f t="shared" si="22"/>
        <v>35.1</v>
      </c>
      <c r="Z36" s="16">
        <f t="shared" si="23"/>
        <v>8.1000000000000014</v>
      </c>
    </row>
    <row r="37" spans="1:26" ht="15" customHeight="1" x14ac:dyDescent="0.2">
      <c r="A37" s="17" t="s">
        <v>58</v>
      </c>
      <c r="B37" s="18" t="s">
        <v>45</v>
      </c>
      <c r="C37" s="18" t="s">
        <v>36</v>
      </c>
      <c r="D37" s="13">
        <v>1</v>
      </c>
      <c r="E37" s="13">
        <v>1.5</v>
      </c>
      <c r="F37" s="13">
        <v>1.5</v>
      </c>
      <c r="G37" s="13">
        <v>2</v>
      </c>
      <c r="H37" s="13">
        <v>2</v>
      </c>
      <c r="I37" s="13">
        <v>1.5</v>
      </c>
      <c r="J37" s="13">
        <v>0.5</v>
      </c>
      <c r="K37" s="13">
        <f t="shared" si="12"/>
        <v>7.5</v>
      </c>
      <c r="L37" s="13">
        <f t="shared" si="13"/>
        <v>1.5</v>
      </c>
      <c r="M37" s="13">
        <f t="shared" si="14"/>
        <v>2</v>
      </c>
      <c r="N37" s="13">
        <f t="shared" si="15"/>
        <v>3</v>
      </c>
      <c r="O37" s="13">
        <f t="shared" si="16"/>
        <v>0.75</v>
      </c>
      <c r="P37" s="13">
        <f t="shared" si="17"/>
        <v>0.25</v>
      </c>
      <c r="Q37" s="19">
        <f t="shared" si="18"/>
        <v>15</v>
      </c>
      <c r="R37" s="15">
        <f t="shared" si="19"/>
        <v>15</v>
      </c>
      <c r="S37" s="10">
        <v>2</v>
      </c>
      <c r="T37" s="20">
        <v>0.44</v>
      </c>
      <c r="U37" s="21" t="str">
        <f t="shared" si="20"/>
        <v>G1-2</v>
      </c>
      <c r="V37" s="21">
        <f t="shared" si="21"/>
        <v>0</v>
      </c>
      <c r="W37" s="13" t="s">
        <v>42</v>
      </c>
      <c r="X37" s="14">
        <v>0.7</v>
      </c>
      <c r="Y37" s="15">
        <f t="shared" si="22"/>
        <v>10.5</v>
      </c>
      <c r="Z37" s="16">
        <f t="shared" si="23"/>
        <v>-4.5</v>
      </c>
    </row>
    <row r="38" spans="1:26" ht="15" customHeight="1" x14ac:dyDescent="0.2">
      <c r="A38" s="5" t="s">
        <v>59</v>
      </c>
      <c r="B38" s="6" t="s">
        <v>43</v>
      </c>
      <c r="C38" s="6" t="s">
        <v>44</v>
      </c>
      <c r="D38" s="7">
        <v>2</v>
      </c>
      <c r="E38" s="7">
        <v>1.5</v>
      </c>
      <c r="F38" s="7">
        <v>1.5</v>
      </c>
      <c r="G38" s="7">
        <v>2</v>
      </c>
      <c r="H38" s="7">
        <v>1.5</v>
      </c>
      <c r="I38" s="7">
        <v>1.5</v>
      </c>
      <c r="J38" s="7">
        <v>2.5</v>
      </c>
      <c r="K38" s="7">
        <f t="shared" si="12"/>
        <v>7.5</v>
      </c>
      <c r="L38" s="7">
        <f t="shared" si="13"/>
        <v>1.5</v>
      </c>
      <c r="M38" s="7">
        <f t="shared" si="14"/>
        <v>2</v>
      </c>
      <c r="N38" s="7">
        <f t="shared" si="15"/>
        <v>2.25</v>
      </c>
      <c r="O38" s="7">
        <f t="shared" si="16"/>
        <v>0.75</v>
      </c>
      <c r="P38" s="7">
        <f t="shared" si="17"/>
        <v>1.25</v>
      </c>
      <c r="Q38" s="8">
        <f t="shared" si="18"/>
        <v>15.25</v>
      </c>
      <c r="R38" s="9">
        <f t="shared" si="19"/>
        <v>30.5</v>
      </c>
      <c r="S38" s="10">
        <v>5.0999999999999996</v>
      </c>
      <c r="T38" s="11">
        <v>0.76800000000000002</v>
      </c>
      <c r="U38" s="12" t="str">
        <f t="shared" si="20"/>
        <v>G2-3</v>
      </c>
      <c r="V38" s="12">
        <f t="shared" si="21"/>
        <v>0</v>
      </c>
      <c r="W38" s="13" t="s">
        <v>42</v>
      </c>
      <c r="X38" s="14">
        <v>0.91</v>
      </c>
      <c r="Y38" s="15">
        <f t="shared" si="22"/>
        <v>27.755000000000003</v>
      </c>
      <c r="Z38" s="16">
        <f t="shared" si="23"/>
        <v>-2.7449999999999974</v>
      </c>
    </row>
    <row r="39" spans="1:26" ht="15" customHeight="1" x14ac:dyDescent="0.2">
      <c r="A39" s="17" t="s">
        <v>59</v>
      </c>
      <c r="B39" s="18" t="s">
        <v>60</v>
      </c>
      <c r="C39" s="18" t="s">
        <v>61</v>
      </c>
      <c r="D39" s="13">
        <v>1.3</v>
      </c>
      <c r="E39" s="13">
        <v>1.5</v>
      </c>
      <c r="F39" s="13">
        <v>1.5</v>
      </c>
      <c r="G39" s="13">
        <v>2</v>
      </c>
      <c r="H39" s="13">
        <v>1.5</v>
      </c>
      <c r="I39" s="13">
        <v>1.5</v>
      </c>
      <c r="J39" s="13">
        <v>2.5</v>
      </c>
      <c r="K39" s="13">
        <f t="shared" si="12"/>
        <v>7.5</v>
      </c>
      <c r="L39" s="13">
        <f t="shared" si="13"/>
        <v>1.5</v>
      </c>
      <c r="M39" s="13">
        <f t="shared" si="14"/>
        <v>2</v>
      </c>
      <c r="N39" s="13">
        <f t="shared" si="15"/>
        <v>2.25</v>
      </c>
      <c r="O39" s="13">
        <f t="shared" si="16"/>
        <v>0.75</v>
      </c>
      <c r="P39" s="13">
        <f t="shared" si="17"/>
        <v>1.25</v>
      </c>
      <c r="Q39" s="19">
        <f t="shared" si="18"/>
        <v>15.25</v>
      </c>
      <c r="R39" s="15">
        <f t="shared" si="19"/>
        <v>19.824999999999999</v>
      </c>
      <c r="S39" s="10">
        <v>14.9</v>
      </c>
      <c r="T39" s="20">
        <v>0.94399999999999995</v>
      </c>
      <c r="U39" s="21" t="str">
        <f t="shared" si="20"/>
        <v>G2</v>
      </c>
      <c r="V39" s="21">
        <f t="shared" si="21"/>
        <v>1</v>
      </c>
      <c r="W39" s="13" t="s">
        <v>42</v>
      </c>
      <c r="X39" s="14">
        <v>1.26</v>
      </c>
      <c r="Y39" s="15">
        <f t="shared" si="22"/>
        <v>24.979499999999998</v>
      </c>
      <c r="Z39" s="16">
        <f t="shared" si="23"/>
        <v>5.1544999999999987</v>
      </c>
    </row>
    <row r="40" spans="1:26" ht="15" customHeight="1" x14ac:dyDescent="0.2">
      <c r="A40" s="5" t="s">
        <v>59</v>
      </c>
      <c r="B40" s="6" t="s">
        <v>45</v>
      </c>
      <c r="C40" s="6" t="s">
        <v>36</v>
      </c>
      <c r="D40" s="7">
        <v>1</v>
      </c>
      <c r="E40" s="7">
        <v>1.5</v>
      </c>
      <c r="F40" s="7">
        <v>1.5</v>
      </c>
      <c r="G40" s="7">
        <v>2</v>
      </c>
      <c r="H40" s="7">
        <v>1.5</v>
      </c>
      <c r="I40" s="7">
        <v>1.5</v>
      </c>
      <c r="J40" s="7">
        <v>2.5</v>
      </c>
      <c r="K40" s="7">
        <f t="shared" si="12"/>
        <v>7.5</v>
      </c>
      <c r="L40" s="7">
        <f t="shared" si="13"/>
        <v>1.5</v>
      </c>
      <c r="M40" s="7">
        <f t="shared" si="14"/>
        <v>2</v>
      </c>
      <c r="N40" s="7">
        <f t="shared" si="15"/>
        <v>2.25</v>
      </c>
      <c r="O40" s="7">
        <f t="shared" si="16"/>
        <v>0.75</v>
      </c>
      <c r="P40" s="7">
        <f t="shared" si="17"/>
        <v>1.25</v>
      </c>
      <c r="Q40" s="8">
        <f t="shared" si="18"/>
        <v>15.25</v>
      </c>
      <c r="R40" s="9">
        <f t="shared" si="19"/>
        <v>15.25</v>
      </c>
      <c r="S40" s="10">
        <v>6.8</v>
      </c>
      <c r="T40" s="11">
        <v>0.81799999999999995</v>
      </c>
      <c r="U40" s="12" t="str">
        <f t="shared" si="20"/>
        <v>G1-2</v>
      </c>
      <c r="V40" s="12">
        <f t="shared" si="21"/>
        <v>0</v>
      </c>
      <c r="W40" s="13" t="s">
        <v>42</v>
      </c>
      <c r="X40" s="14">
        <v>0.7</v>
      </c>
      <c r="Y40" s="15">
        <f t="shared" si="22"/>
        <v>10.674999999999999</v>
      </c>
      <c r="Z40" s="16">
        <f t="shared" si="23"/>
        <v>-4.5750000000000011</v>
      </c>
    </row>
    <row r="41" spans="1:26" ht="15" customHeight="1" x14ac:dyDescent="0.2">
      <c r="A41" s="17" t="s">
        <v>59</v>
      </c>
      <c r="B41" s="18" t="s">
        <v>62</v>
      </c>
      <c r="C41" s="18" t="s">
        <v>61</v>
      </c>
      <c r="D41" s="13">
        <v>1.3</v>
      </c>
      <c r="E41" s="13">
        <v>1.5</v>
      </c>
      <c r="F41" s="13">
        <v>1.5</v>
      </c>
      <c r="G41" s="13">
        <v>2</v>
      </c>
      <c r="H41" s="13">
        <v>1.5</v>
      </c>
      <c r="I41" s="13">
        <v>1.5</v>
      </c>
      <c r="J41" s="13">
        <v>2.5</v>
      </c>
      <c r="K41" s="13">
        <f t="shared" si="12"/>
        <v>7.5</v>
      </c>
      <c r="L41" s="13">
        <f t="shared" si="13"/>
        <v>1.5</v>
      </c>
      <c r="M41" s="13">
        <f t="shared" si="14"/>
        <v>2</v>
      </c>
      <c r="N41" s="13">
        <f t="shared" si="15"/>
        <v>2.25</v>
      </c>
      <c r="O41" s="13">
        <f t="shared" si="16"/>
        <v>0.75</v>
      </c>
      <c r="P41" s="13">
        <f t="shared" si="17"/>
        <v>1.25</v>
      </c>
      <c r="Q41" s="19">
        <f t="shared" si="18"/>
        <v>15.25</v>
      </c>
      <c r="R41" s="15">
        <f t="shared" si="19"/>
        <v>19.824999999999999</v>
      </c>
      <c r="S41" s="10">
        <v>0</v>
      </c>
      <c r="T41" s="20">
        <v>0.35</v>
      </c>
      <c r="U41" s="21" t="str">
        <f t="shared" si="20"/>
        <v>G2</v>
      </c>
      <c r="V41" s="21">
        <f t="shared" si="21"/>
        <v>0</v>
      </c>
      <c r="W41" s="13" t="s">
        <v>42</v>
      </c>
      <c r="X41" s="14">
        <v>1.26</v>
      </c>
      <c r="Y41" s="15">
        <f t="shared" si="22"/>
        <v>24.979499999999998</v>
      </c>
      <c r="Z41" s="16">
        <f t="shared" si="23"/>
        <v>5.1544999999999987</v>
      </c>
    </row>
    <row r="42" spans="1:26" ht="15" customHeight="1" x14ac:dyDescent="0.2">
      <c r="A42" s="5" t="s">
        <v>59</v>
      </c>
      <c r="B42" s="6" t="s">
        <v>63</v>
      </c>
      <c r="C42" s="6" t="s">
        <v>36</v>
      </c>
      <c r="D42" s="7">
        <v>1</v>
      </c>
      <c r="E42" s="7">
        <v>1.5</v>
      </c>
      <c r="F42" s="7">
        <v>1.5</v>
      </c>
      <c r="G42" s="7">
        <v>2</v>
      </c>
      <c r="H42" s="7">
        <v>1.5</v>
      </c>
      <c r="I42" s="7">
        <v>1.5</v>
      </c>
      <c r="J42" s="7">
        <v>2.5</v>
      </c>
      <c r="K42" s="7">
        <f t="shared" si="12"/>
        <v>7.5</v>
      </c>
      <c r="L42" s="7">
        <f t="shared" si="13"/>
        <v>1.5</v>
      </c>
      <c r="M42" s="7">
        <f t="shared" si="14"/>
        <v>2</v>
      </c>
      <c r="N42" s="7">
        <f t="shared" si="15"/>
        <v>2.25</v>
      </c>
      <c r="O42" s="7">
        <f t="shared" si="16"/>
        <v>0.75</v>
      </c>
      <c r="P42" s="7">
        <f t="shared" si="17"/>
        <v>1.25</v>
      </c>
      <c r="Q42" s="8">
        <f t="shared" si="18"/>
        <v>15.25</v>
      </c>
      <c r="R42" s="9">
        <f t="shared" si="19"/>
        <v>15.25</v>
      </c>
      <c r="S42" s="10">
        <v>3</v>
      </c>
      <c r="T42" s="11">
        <v>0.51</v>
      </c>
      <c r="U42" s="12" t="str">
        <f t="shared" si="20"/>
        <v>G1-2</v>
      </c>
      <c r="V42" s="12">
        <f t="shared" si="21"/>
        <v>0</v>
      </c>
      <c r="W42" s="13" t="s">
        <v>42</v>
      </c>
      <c r="X42" s="14">
        <v>0.7</v>
      </c>
      <c r="Y42" s="15">
        <f t="shared" si="22"/>
        <v>10.674999999999999</v>
      </c>
      <c r="Z42" s="16">
        <f t="shared" si="23"/>
        <v>-4.5750000000000011</v>
      </c>
    </row>
    <row r="43" spans="1:26" ht="15" customHeight="1" x14ac:dyDescent="0.2">
      <c r="A43" s="17" t="s">
        <v>59</v>
      </c>
      <c r="B43" s="18" t="s">
        <v>64</v>
      </c>
      <c r="C43" s="18" t="s">
        <v>36</v>
      </c>
      <c r="D43" s="13">
        <v>1</v>
      </c>
      <c r="E43" s="13">
        <v>1.5</v>
      </c>
      <c r="F43" s="13">
        <v>1.5</v>
      </c>
      <c r="G43" s="13">
        <v>2</v>
      </c>
      <c r="H43" s="13">
        <v>1.5</v>
      </c>
      <c r="I43" s="13">
        <v>1.5</v>
      </c>
      <c r="J43" s="13">
        <v>2.5</v>
      </c>
      <c r="K43" s="13">
        <f t="shared" si="12"/>
        <v>7.5</v>
      </c>
      <c r="L43" s="13">
        <f t="shared" si="13"/>
        <v>1.5</v>
      </c>
      <c r="M43" s="13">
        <f t="shared" si="14"/>
        <v>2</v>
      </c>
      <c r="N43" s="13">
        <f t="shared" si="15"/>
        <v>2.25</v>
      </c>
      <c r="O43" s="13">
        <f t="shared" si="16"/>
        <v>0.75</v>
      </c>
      <c r="P43" s="13">
        <f t="shared" si="17"/>
        <v>1.25</v>
      </c>
      <c r="Q43" s="19">
        <f t="shared" si="18"/>
        <v>15.25</v>
      </c>
      <c r="R43" s="15">
        <f t="shared" si="19"/>
        <v>15.25</v>
      </c>
      <c r="S43" s="10">
        <v>4</v>
      </c>
      <c r="T43" s="20">
        <v>0.17100000000000001</v>
      </c>
      <c r="U43" s="21" t="str">
        <f t="shared" si="20"/>
        <v>G1-2</v>
      </c>
      <c r="V43" s="21">
        <f t="shared" si="21"/>
        <v>0</v>
      </c>
      <c r="W43" s="13" t="s">
        <v>42</v>
      </c>
      <c r="X43" s="14">
        <v>0.7</v>
      </c>
      <c r="Y43" s="15">
        <f t="shared" si="22"/>
        <v>10.674999999999999</v>
      </c>
      <c r="Z43" s="16">
        <f t="shared" si="23"/>
        <v>-4.5750000000000011</v>
      </c>
    </row>
    <row r="44" spans="1:26" ht="15" customHeight="1" x14ac:dyDescent="0.2">
      <c r="A44" s="5" t="s">
        <v>59</v>
      </c>
      <c r="B44" s="6" t="s">
        <v>65</v>
      </c>
      <c r="C44" s="6" t="s">
        <v>61</v>
      </c>
      <c r="D44" s="7">
        <v>1.3</v>
      </c>
      <c r="E44" s="7">
        <v>1.5</v>
      </c>
      <c r="F44" s="7">
        <v>1.5</v>
      </c>
      <c r="G44" s="7">
        <v>2</v>
      </c>
      <c r="H44" s="7">
        <v>1.5</v>
      </c>
      <c r="I44" s="7">
        <v>1.5</v>
      </c>
      <c r="J44" s="7">
        <v>2.5</v>
      </c>
      <c r="K44" s="7">
        <f t="shared" si="12"/>
        <v>7.5</v>
      </c>
      <c r="L44" s="7">
        <f t="shared" si="13"/>
        <v>1.5</v>
      </c>
      <c r="M44" s="7">
        <f t="shared" si="14"/>
        <v>2</v>
      </c>
      <c r="N44" s="7">
        <f t="shared" si="15"/>
        <v>2.25</v>
      </c>
      <c r="O44" s="7">
        <f t="shared" si="16"/>
        <v>0.75</v>
      </c>
      <c r="P44" s="7">
        <f t="shared" si="17"/>
        <v>1.25</v>
      </c>
      <c r="Q44" s="8">
        <f t="shared" si="18"/>
        <v>15.25</v>
      </c>
      <c r="R44" s="9">
        <f t="shared" si="19"/>
        <v>19.824999999999999</v>
      </c>
      <c r="S44" s="10">
        <v>1.6</v>
      </c>
      <c r="T44" s="11">
        <v>5.3999999999999999E-2</v>
      </c>
      <c r="U44" s="12" t="str">
        <f t="shared" si="20"/>
        <v>G2</v>
      </c>
      <c r="V44" s="12">
        <f t="shared" si="21"/>
        <v>0</v>
      </c>
      <c r="W44" s="13" t="s">
        <v>42</v>
      </c>
      <c r="X44" s="14">
        <v>1.26</v>
      </c>
      <c r="Y44" s="15">
        <f t="shared" si="22"/>
        <v>24.979499999999998</v>
      </c>
      <c r="Z44" s="16">
        <f t="shared" si="23"/>
        <v>5.1544999999999987</v>
      </c>
    </row>
    <row r="45" spans="1:26" ht="15" customHeight="1" x14ac:dyDescent="0.2">
      <c r="A45" s="17" t="s">
        <v>59</v>
      </c>
      <c r="B45" s="18" t="s">
        <v>30</v>
      </c>
      <c r="C45" s="18" t="s">
        <v>28</v>
      </c>
      <c r="D45" s="13">
        <v>1.8</v>
      </c>
      <c r="E45" s="13">
        <v>1.5</v>
      </c>
      <c r="F45" s="13">
        <v>1.5</v>
      </c>
      <c r="G45" s="13">
        <v>2</v>
      </c>
      <c r="H45" s="13">
        <v>1.5</v>
      </c>
      <c r="I45" s="13">
        <v>1.5</v>
      </c>
      <c r="J45" s="13">
        <v>2.5</v>
      </c>
      <c r="K45" s="13">
        <f t="shared" si="12"/>
        <v>7.5</v>
      </c>
      <c r="L45" s="13">
        <f t="shared" si="13"/>
        <v>1.5</v>
      </c>
      <c r="M45" s="13">
        <f t="shared" si="14"/>
        <v>2</v>
      </c>
      <c r="N45" s="13">
        <f t="shared" si="15"/>
        <v>2.25</v>
      </c>
      <c r="O45" s="13">
        <f t="shared" si="16"/>
        <v>0.75</v>
      </c>
      <c r="P45" s="13">
        <f t="shared" si="17"/>
        <v>1.25</v>
      </c>
      <c r="Q45" s="19">
        <f t="shared" si="18"/>
        <v>15.25</v>
      </c>
      <c r="R45" s="15">
        <f t="shared" si="19"/>
        <v>27.45</v>
      </c>
      <c r="S45" s="10">
        <v>7</v>
      </c>
      <c r="T45" s="20">
        <v>0.43</v>
      </c>
      <c r="U45" s="21" t="str">
        <f t="shared" si="20"/>
        <v>G2-3</v>
      </c>
      <c r="V45" s="21">
        <f t="shared" si="21"/>
        <v>0</v>
      </c>
      <c r="W45" s="13" t="s">
        <v>42</v>
      </c>
      <c r="X45" s="14">
        <v>1.3</v>
      </c>
      <c r="Y45" s="15">
        <f t="shared" si="22"/>
        <v>35.685000000000002</v>
      </c>
      <c r="Z45" s="16">
        <f t="shared" si="23"/>
        <v>8.235000000000003</v>
      </c>
    </row>
    <row r="46" spans="1:26" ht="15" customHeight="1" x14ac:dyDescent="0.2">
      <c r="A46" s="5" t="s">
        <v>66</v>
      </c>
      <c r="B46" s="6" t="s">
        <v>37</v>
      </c>
      <c r="C46" s="6" t="s">
        <v>38</v>
      </c>
      <c r="D46" s="7">
        <v>1</v>
      </c>
      <c r="E46" s="7">
        <v>1</v>
      </c>
      <c r="F46" s="7">
        <v>2.5</v>
      </c>
      <c r="G46" s="7">
        <v>0.5</v>
      </c>
      <c r="H46" s="7">
        <v>2</v>
      </c>
      <c r="I46" s="7">
        <v>1</v>
      </c>
      <c r="J46" s="7">
        <v>1</v>
      </c>
      <c r="K46" s="7">
        <f t="shared" si="12"/>
        <v>5</v>
      </c>
      <c r="L46" s="7">
        <f t="shared" si="13"/>
        <v>2.5</v>
      </c>
      <c r="M46" s="7">
        <f t="shared" si="14"/>
        <v>0.5</v>
      </c>
      <c r="N46" s="7">
        <f t="shared" si="15"/>
        <v>3</v>
      </c>
      <c r="O46" s="7">
        <f t="shared" si="16"/>
        <v>0.5</v>
      </c>
      <c r="P46" s="7">
        <f t="shared" si="17"/>
        <v>0.5</v>
      </c>
      <c r="Q46" s="8">
        <f t="shared" si="18"/>
        <v>12</v>
      </c>
      <c r="R46" s="9">
        <f t="shared" si="19"/>
        <v>12</v>
      </c>
      <c r="S46" s="10">
        <v>6.6</v>
      </c>
      <c r="T46" s="11">
        <v>1.0880000000000001</v>
      </c>
      <c r="U46" s="12" t="str">
        <f t="shared" si="20"/>
        <v>G1-2</v>
      </c>
      <c r="V46" s="12">
        <f t="shared" si="21"/>
        <v>0</v>
      </c>
      <c r="W46" s="13" t="s">
        <v>67</v>
      </c>
      <c r="X46" s="14">
        <v>1.05</v>
      </c>
      <c r="Y46" s="15">
        <f t="shared" si="22"/>
        <v>12.600000000000001</v>
      </c>
      <c r="Z46" s="16">
        <f t="shared" si="23"/>
        <v>0.60000000000000142</v>
      </c>
    </row>
    <row r="47" spans="1:26" ht="15" customHeight="1" x14ac:dyDescent="0.2">
      <c r="A47" s="17" t="s">
        <v>66</v>
      </c>
      <c r="B47" s="18" t="s">
        <v>30</v>
      </c>
      <c r="C47" s="18" t="s">
        <v>28</v>
      </c>
      <c r="D47" s="13">
        <v>1.8</v>
      </c>
      <c r="E47" s="13">
        <v>1</v>
      </c>
      <c r="F47" s="13">
        <v>2.5</v>
      </c>
      <c r="G47" s="13">
        <v>0.5</v>
      </c>
      <c r="H47" s="13">
        <v>2</v>
      </c>
      <c r="I47" s="13">
        <v>1</v>
      </c>
      <c r="J47" s="13">
        <v>1</v>
      </c>
      <c r="K47" s="13">
        <f t="shared" si="12"/>
        <v>5</v>
      </c>
      <c r="L47" s="13">
        <f t="shared" si="13"/>
        <v>2.5</v>
      </c>
      <c r="M47" s="13">
        <f t="shared" si="14"/>
        <v>0.5</v>
      </c>
      <c r="N47" s="13">
        <f t="shared" si="15"/>
        <v>3</v>
      </c>
      <c r="O47" s="13">
        <f t="shared" si="16"/>
        <v>0.5</v>
      </c>
      <c r="P47" s="13">
        <f t="shared" si="17"/>
        <v>0.5</v>
      </c>
      <c r="Q47" s="19">
        <f t="shared" si="18"/>
        <v>12</v>
      </c>
      <c r="R47" s="15">
        <f t="shared" si="19"/>
        <v>21.6</v>
      </c>
      <c r="S47" s="10">
        <v>19.5</v>
      </c>
      <c r="T47" s="20">
        <v>1.3240000000000001</v>
      </c>
      <c r="U47" s="21" t="str">
        <f t="shared" si="20"/>
        <v>G2</v>
      </c>
      <c r="V47" s="21">
        <f t="shared" si="21"/>
        <v>1</v>
      </c>
      <c r="W47" s="13" t="s">
        <v>67</v>
      </c>
      <c r="X47" s="14">
        <v>0.95</v>
      </c>
      <c r="Y47" s="15">
        <f t="shared" si="22"/>
        <v>20.52</v>
      </c>
      <c r="Z47" s="16">
        <f t="shared" si="23"/>
        <v>-1.0800000000000018</v>
      </c>
    </row>
    <row r="48" spans="1:26" ht="15" customHeight="1" x14ac:dyDescent="0.2">
      <c r="A48" s="5" t="s">
        <v>66</v>
      </c>
      <c r="B48" s="6" t="s">
        <v>31</v>
      </c>
      <c r="C48" s="6" t="s">
        <v>28</v>
      </c>
      <c r="D48" s="7">
        <v>1.8</v>
      </c>
      <c r="E48" s="7">
        <v>1</v>
      </c>
      <c r="F48" s="7">
        <v>2.5</v>
      </c>
      <c r="G48" s="7">
        <v>0.5</v>
      </c>
      <c r="H48" s="7">
        <v>2</v>
      </c>
      <c r="I48" s="7">
        <v>1</v>
      </c>
      <c r="J48" s="7">
        <v>1</v>
      </c>
      <c r="K48" s="7">
        <f t="shared" si="12"/>
        <v>5</v>
      </c>
      <c r="L48" s="7">
        <f t="shared" si="13"/>
        <v>2.5</v>
      </c>
      <c r="M48" s="7">
        <f t="shared" si="14"/>
        <v>0.5</v>
      </c>
      <c r="N48" s="7">
        <f t="shared" si="15"/>
        <v>3</v>
      </c>
      <c r="O48" s="7">
        <f t="shared" si="16"/>
        <v>0.5</v>
      </c>
      <c r="P48" s="7">
        <f t="shared" si="17"/>
        <v>0.5</v>
      </c>
      <c r="Q48" s="8">
        <f t="shared" si="18"/>
        <v>12</v>
      </c>
      <c r="R48" s="9">
        <f t="shared" si="19"/>
        <v>21.6</v>
      </c>
      <c r="S48" s="10">
        <v>8.1999999999999993</v>
      </c>
      <c r="T48" s="11">
        <v>0.68799999999999994</v>
      </c>
      <c r="U48" s="12" t="str">
        <f t="shared" si="20"/>
        <v>G2</v>
      </c>
      <c r="V48" s="12">
        <f t="shared" si="21"/>
        <v>0</v>
      </c>
      <c r="W48" s="13" t="s">
        <v>67</v>
      </c>
      <c r="X48" s="14">
        <v>0.95</v>
      </c>
      <c r="Y48" s="15">
        <f t="shared" si="22"/>
        <v>20.52</v>
      </c>
      <c r="Z48" s="16">
        <f t="shared" si="23"/>
        <v>-1.0800000000000018</v>
      </c>
    </row>
    <row r="49" spans="1:26" ht="15" customHeight="1" x14ac:dyDescent="0.2">
      <c r="A49" s="17" t="s">
        <v>66</v>
      </c>
      <c r="B49" s="18" t="s">
        <v>68</v>
      </c>
      <c r="C49" s="18" t="s">
        <v>38</v>
      </c>
      <c r="D49" s="13">
        <v>1</v>
      </c>
      <c r="E49" s="13">
        <v>1</v>
      </c>
      <c r="F49" s="13">
        <v>2.5</v>
      </c>
      <c r="G49" s="13">
        <v>0.5</v>
      </c>
      <c r="H49" s="13">
        <v>2</v>
      </c>
      <c r="I49" s="13">
        <v>1</v>
      </c>
      <c r="J49" s="13">
        <v>1</v>
      </c>
      <c r="K49" s="13">
        <f t="shared" si="12"/>
        <v>5</v>
      </c>
      <c r="L49" s="13">
        <f t="shared" si="13"/>
        <v>2.5</v>
      </c>
      <c r="M49" s="13">
        <f t="shared" si="14"/>
        <v>0.5</v>
      </c>
      <c r="N49" s="13">
        <f t="shared" si="15"/>
        <v>3</v>
      </c>
      <c r="O49" s="13">
        <f t="shared" si="16"/>
        <v>0.5</v>
      </c>
      <c r="P49" s="13">
        <f t="shared" si="17"/>
        <v>0.5</v>
      </c>
      <c r="Q49" s="19">
        <f t="shared" si="18"/>
        <v>12</v>
      </c>
      <c r="R49" s="15">
        <f t="shared" si="19"/>
        <v>12</v>
      </c>
      <c r="S49" s="10">
        <v>2</v>
      </c>
      <c r="T49" s="20">
        <v>0.52</v>
      </c>
      <c r="U49" s="21" t="str">
        <f t="shared" si="20"/>
        <v>G1-2</v>
      </c>
      <c r="V49" s="21">
        <f t="shared" si="21"/>
        <v>0</v>
      </c>
      <c r="W49" s="13" t="s">
        <v>67</v>
      </c>
      <c r="X49" s="14">
        <v>1.05</v>
      </c>
      <c r="Y49" s="15">
        <f t="shared" si="22"/>
        <v>12.600000000000001</v>
      </c>
      <c r="Z49" s="16">
        <f t="shared" si="23"/>
        <v>0.60000000000000142</v>
      </c>
    </row>
    <row r="50" spans="1:26" ht="15" customHeight="1" x14ac:dyDescent="0.2">
      <c r="A50" s="5" t="s">
        <v>66</v>
      </c>
      <c r="B50" s="6" t="s">
        <v>45</v>
      </c>
      <c r="C50" s="6" t="s">
        <v>36</v>
      </c>
      <c r="D50" s="7">
        <v>1</v>
      </c>
      <c r="E50" s="7">
        <v>1</v>
      </c>
      <c r="F50" s="7">
        <v>2.5</v>
      </c>
      <c r="G50" s="7">
        <v>0.5</v>
      </c>
      <c r="H50" s="7">
        <v>2</v>
      </c>
      <c r="I50" s="7">
        <v>1</v>
      </c>
      <c r="J50" s="7">
        <v>1</v>
      </c>
      <c r="K50" s="7">
        <f t="shared" si="12"/>
        <v>5</v>
      </c>
      <c r="L50" s="7">
        <f t="shared" si="13"/>
        <v>2.5</v>
      </c>
      <c r="M50" s="7">
        <f t="shared" si="14"/>
        <v>0.5</v>
      </c>
      <c r="N50" s="7">
        <f t="shared" si="15"/>
        <v>3</v>
      </c>
      <c r="O50" s="7">
        <f t="shared" si="16"/>
        <v>0.5</v>
      </c>
      <c r="P50" s="7">
        <f t="shared" si="17"/>
        <v>0.5</v>
      </c>
      <c r="Q50" s="8">
        <f t="shared" si="18"/>
        <v>12</v>
      </c>
      <c r="R50" s="9">
        <f t="shared" si="19"/>
        <v>12</v>
      </c>
      <c r="S50" s="10">
        <v>2</v>
      </c>
      <c r="T50" s="11">
        <v>0.5</v>
      </c>
      <c r="U50" s="12" t="str">
        <f t="shared" si="20"/>
        <v>G1-2</v>
      </c>
      <c r="V50" s="12">
        <f t="shared" si="21"/>
        <v>0</v>
      </c>
      <c r="W50" s="13" t="s">
        <v>67</v>
      </c>
      <c r="X50" s="14">
        <v>0.67</v>
      </c>
      <c r="Y50" s="15">
        <f t="shared" si="22"/>
        <v>8.0400000000000009</v>
      </c>
      <c r="Z50" s="16">
        <f t="shared" si="23"/>
        <v>-3.9599999999999991</v>
      </c>
    </row>
    <row r="51" spans="1:26" ht="15" customHeight="1" x14ac:dyDescent="0.2">
      <c r="A51" s="17" t="s">
        <v>66</v>
      </c>
      <c r="B51" s="18" t="s">
        <v>62</v>
      </c>
      <c r="C51" s="18" t="s">
        <v>61</v>
      </c>
      <c r="D51" s="13">
        <v>1.3</v>
      </c>
      <c r="E51" s="13">
        <v>1</v>
      </c>
      <c r="F51" s="13">
        <v>2.5</v>
      </c>
      <c r="G51" s="13">
        <v>0.5</v>
      </c>
      <c r="H51" s="13">
        <v>2</v>
      </c>
      <c r="I51" s="13">
        <v>1</v>
      </c>
      <c r="J51" s="13">
        <v>1</v>
      </c>
      <c r="K51" s="13">
        <f t="shared" si="12"/>
        <v>5</v>
      </c>
      <c r="L51" s="13">
        <f t="shared" si="13"/>
        <v>2.5</v>
      </c>
      <c r="M51" s="13">
        <f t="shared" si="14"/>
        <v>0.5</v>
      </c>
      <c r="N51" s="13">
        <f t="shared" si="15"/>
        <v>3</v>
      </c>
      <c r="O51" s="13">
        <f t="shared" si="16"/>
        <v>0.5</v>
      </c>
      <c r="P51" s="13">
        <f t="shared" si="17"/>
        <v>0.5</v>
      </c>
      <c r="Q51" s="19">
        <f t="shared" si="18"/>
        <v>12</v>
      </c>
      <c r="R51" s="15">
        <f t="shared" si="19"/>
        <v>15.600000000000001</v>
      </c>
      <c r="S51" s="10">
        <v>0</v>
      </c>
      <c r="T51" s="20">
        <v>0.38</v>
      </c>
      <c r="U51" s="21" t="str">
        <f t="shared" si="20"/>
        <v>G1-2</v>
      </c>
      <c r="V51" s="21">
        <f t="shared" si="21"/>
        <v>0</v>
      </c>
      <c r="W51" s="13" t="s">
        <v>67</v>
      </c>
      <c r="X51" s="14">
        <v>1</v>
      </c>
      <c r="Y51" s="15">
        <f t="shared" si="22"/>
        <v>15.600000000000001</v>
      </c>
      <c r="Z51" s="16">
        <f t="shared" si="23"/>
        <v>0</v>
      </c>
    </row>
    <row r="52" spans="1:26" ht="15" customHeight="1" x14ac:dyDescent="0.2">
      <c r="A52" s="5" t="s">
        <v>66</v>
      </c>
      <c r="B52" s="6" t="s">
        <v>69</v>
      </c>
      <c r="C52" s="6" t="s">
        <v>49</v>
      </c>
      <c r="D52" s="7">
        <v>1.5</v>
      </c>
      <c r="E52" s="7">
        <v>1</v>
      </c>
      <c r="F52" s="7">
        <v>2.5</v>
      </c>
      <c r="G52" s="7">
        <v>0.5</v>
      </c>
      <c r="H52" s="7">
        <v>2</v>
      </c>
      <c r="I52" s="7">
        <v>1</v>
      </c>
      <c r="J52" s="7">
        <v>1</v>
      </c>
      <c r="K52" s="7">
        <f t="shared" si="12"/>
        <v>5</v>
      </c>
      <c r="L52" s="7">
        <f t="shared" si="13"/>
        <v>2.5</v>
      </c>
      <c r="M52" s="7">
        <f t="shared" si="14"/>
        <v>0.5</v>
      </c>
      <c r="N52" s="7">
        <f t="shared" si="15"/>
        <v>3</v>
      </c>
      <c r="O52" s="7">
        <f t="shared" si="16"/>
        <v>0.5</v>
      </c>
      <c r="P52" s="7">
        <f t="shared" si="17"/>
        <v>0.5</v>
      </c>
      <c r="Q52" s="8">
        <f t="shared" si="18"/>
        <v>12</v>
      </c>
      <c r="R52" s="9">
        <f t="shared" si="19"/>
        <v>18</v>
      </c>
      <c r="S52" s="10">
        <v>3.5</v>
      </c>
      <c r="T52" s="11">
        <v>0.28499999999999998</v>
      </c>
      <c r="U52" s="12" t="str">
        <f t="shared" si="20"/>
        <v>G2</v>
      </c>
      <c r="V52" s="12">
        <f t="shared" si="21"/>
        <v>0</v>
      </c>
      <c r="W52" s="13" t="s">
        <v>67</v>
      </c>
      <c r="X52" s="14">
        <v>0.31</v>
      </c>
      <c r="Y52" s="15">
        <f t="shared" si="22"/>
        <v>5.58</v>
      </c>
      <c r="Z52" s="16">
        <f t="shared" si="23"/>
        <v>-12.42</v>
      </c>
    </row>
    <row r="53" spans="1:26" ht="15" customHeight="1" x14ac:dyDescent="0.2">
      <c r="A53" s="17" t="s">
        <v>66</v>
      </c>
      <c r="B53" s="18" t="s">
        <v>27</v>
      </c>
      <c r="C53" s="18" t="s">
        <v>28</v>
      </c>
      <c r="D53" s="13">
        <v>1.8</v>
      </c>
      <c r="E53" s="13">
        <v>1</v>
      </c>
      <c r="F53" s="13">
        <v>2.5</v>
      </c>
      <c r="G53" s="13">
        <v>0.5</v>
      </c>
      <c r="H53" s="13">
        <v>2</v>
      </c>
      <c r="I53" s="13">
        <v>1</v>
      </c>
      <c r="J53" s="13">
        <v>1</v>
      </c>
      <c r="K53" s="13">
        <f t="shared" si="12"/>
        <v>5</v>
      </c>
      <c r="L53" s="13">
        <f t="shared" si="13"/>
        <v>2.5</v>
      </c>
      <c r="M53" s="13">
        <f t="shared" si="14"/>
        <v>0.5</v>
      </c>
      <c r="N53" s="13">
        <f t="shared" si="15"/>
        <v>3</v>
      </c>
      <c r="O53" s="13">
        <f t="shared" si="16"/>
        <v>0.5</v>
      </c>
      <c r="P53" s="13">
        <f t="shared" si="17"/>
        <v>0.5</v>
      </c>
      <c r="Q53" s="19">
        <f t="shared" si="18"/>
        <v>12</v>
      </c>
      <c r="R53" s="15">
        <f t="shared" si="19"/>
        <v>21.6</v>
      </c>
      <c r="S53" s="10">
        <v>6</v>
      </c>
      <c r="T53" s="20">
        <v>0.46</v>
      </c>
      <c r="U53" s="21" t="str">
        <f t="shared" si="20"/>
        <v>G2</v>
      </c>
      <c r="V53" s="21">
        <f t="shared" si="21"/>
        <v>0</v>
      </c>
      <c r="W53" s="13" t="s">
        <v>67</v>
      </c>
      <c r="X53" s="14">
        <v>0.95</v>
      </c>
      <c r="Y53" s="15">
        <f t="shared" si="22"/>
        <v>20.52</v>
      </c>
      <c r="Z53" s="16">
        <f t="shared" si="23"/>
        <v>-1.0800000000000018</v>
      </c>
    </row>
    <row r="54" spans="1:26" ht="15" customHeight="1" x14ac:dyDescent="0.2">
      <c r="A54" s="5" t="s">
        <v>66</v>
      </c>
      <c r="B54" s="6" t="s">
        <v>46</v>
      </c>
      <c r="C54" s="6" t="s">
        <v>38</v>
      </c>
      <c r="D54" s="7">
        <v>1</v>
      </c>
      <c r="E54" s="7">
        <v>1</v>
      </c>
      <c r="F54" s="7">
        <v>2.5</v>
      </c>
      <c r="G54" s="7">
        <v>0.5</v>
      </c>
      <c r="H54" s="7">
        <v>2</v>
      </c>
      <c r="I54" s="7">
        <v>1</v>
      </c>
      <c r="J54" s="7">
        <v>1</v>
      </c>
      <c r="K54" s="7">
        <f t="shared" si="12"/>
        <v>5</v>
      </c>
      <c r="L54" s="7">
        <f t="shared" si="13"/>
        <v>2.5</v>
      </c>
      <c r="M54" s="7">
        <f t="shared" si="14"/>
        <v>0.5</v>
      </c>
      <c r="N54" s="7">
        <f t="shared" si="15"/>
        <v>3</v>
      </c>
      <c r="O54" s="7">
        <f t="shared" si="16"/>
        <v>0.5</v>
      </c>
      <c r="P54" s="7">
        <f t="shared" si="17"/>
        <v>0.5</v>
      </c>
      <c r="Q54" s="8">
        <f t="shared" si="18"/>
        <v>12</v>
      </c>
      <c r="R54" s="9">
        <f t="shared" si="19"/>
        <v>12</v>
      </c>
      <c r="S54" s="10">
        <v>2</v>
      </c>
      <c r="T54" s="11">
        <v>0.42</v>
      </c>
      <c r="U54" s="12" t="str">
        <f t="shared" si="20"/>
        <v>G1-2</v>
      </c>
      <c r="V54" s="12">
        <f t="shared" si="21"/>
        <v>0</v>
      </c>
      <c r="W54" s="13" t="s">
        <v>67</v>
      </c>
      <c r="X54" s="14">
        <v>1.05</v>
      </c>
      <c r="Y54" s="15">
        <f t="shared" si="22"/>
        <v>12.600000000000001</v>
      </c>
      <c r="Z54" s="16">
        <f t="shared" si="23"/>
        <v>0.60000000000000142</v>
      </c>
    </row>
    <row r="55" spans="1:26" ht="15" customHeight="1" x14ac:dyDescent="0.2">
      <c r="A55" s="17" t="s">
        <v>66</v>
      </c>
      <c r="B55" s="18" t="s">
        <v>70</v>
      </c>
      <c r="C55" s="18" t="s">
        <v>38</v>
      </c>
      <c r="D55" s="13">
        <v>1</v>
      </c>
      <c r="E55" s="13">
        <v>1</v>
      </c>
      <c r="F55" s="13">
        <v>2.5</v>
      </c>
      <c r="G55" s="13">
        <v>0.5</v>
      </c>
      <c r="H55" s="13">
        <v>2</v>
      </c>
      <c r="I55" s="13">
        <v>1</v>
      </c>
      <c r="J55" s="13">
        <v>1</v>
      </c>
      <c r="K55" s="13">
        <f t="shared" si="12"/>
        <v>5</v>
      </c>
      <c r="L55" s="13">
        <f t="shared" si="13"/>
        <v>2.5</v>
      </c>
      <c r="M55" s="13">
        <f t="shared" si="14"/>
        <v>0.5</v>
      </c>
      <c r="N55" s="13">
        <f t="shared" si="15"/>
        <v>3</v>
      </c>
      <c r="O55" s="13">
        <f t="shared" si="16"/>
        <v>0.5</v>
      </c>
      <c r="P55" s="13">
        <f t="shared" si="17"/>
        <v>0.5</v>
      </c>
      <c r="Q55" s="19">
        <f t="shared" si="18"/>
        <v>12</v>
      </c>
      <c r="R55" s="15">
        <f t="shared" si="19"/>
        <v>12</v>
      </c>
      <c r="S55" s="10">
        <v>2</v>
      </c>
      <c r="T55" s="20">
        <v>0.3</v>
      </c>
      <c r="U55" s="21" t="str">
        <f t="shared" si="20"/>
        <v>G1-2</v>
      </c>
      <c r="V55" s="21">
        <f t="shared" si="21"/>
        <v>0</v>
      </c>
      <c r="W55" s="13" t="s">
        <v>67</v>
      </c>
      <c r="X55" s="14">
        <v>1.05</v>
      </c>
      <c r="Y55" s="15">
        <f t="shared" si="22"/>
        <v>12.600000000000001</v>
      </c>
      <c r="Z55" s="16">
        <f t="shared" si="23"/>
        <v>0.60000000000000142</v>
      </c>
    </row>
    <row r="56" spans="1:26" ht="15" customHeight="1" x14ac:dyDescent="0.2">
      <c r="A56" s="5" t="s">
        <v>71</v>
      </c>
      <c r="B56" s="6" t="s">
        <v>30</v>
      </c>
      <c r="C56" s="6" t="s">
        <v>28</v>
      </c>
      <c r="D56" s="7">
        <v>1.8</v>
      </c>
      <c r="E56" s="7">
        <v>2.5</v>
      </c>
      <c r="F56" s="7">
        <v>2.5</v>
      </c>
      <c r="G56" s="7">
        <v>1.5</v>
      </c>
      <c r="H56" s="7">
        <v>2</v>
      </c>
      <c r="I56" s="7">
        <v>2.5</v>
      </c>
      <c r="J56" s="7">
        <v>1</v>
      </c>
      <c r="K56" s="7">
        <f t="shared" si="12"/>
        <v>12.5</v>
      </c>
      <c r="L56" s="7">
        <f t="shared" si="13"/>
        <v>2.5</v>
      </c>
      <c r="M56" s="7">
        <f t="shared" si="14"/>
        <v>1.5</v>
      </c>
      <c r="N56" s="7">
        <f t="shared" si="15"/>
        <v>3</v>
      </c>
      <c r="O56" s="7">
        <f t="shared" si="16"/>
        <v>1.25</v>
      </c>
      <c r="P56" s="7">
        <f t="shared" si="17"/>
        <v>0.5</v>
      </c>
      <c r="Q56" s="8">
        <f t="shared" si="18"/>
        <v>21.25</v>
      </c>
      <c r="R56" s="9">
        <f t="shared" si="19"/>
        <v>38.25</v>
      </c>
      <c r="S56" s="10">
        <v>51</v>
      </c>
      <c r="T56" s="11">
        <v>1.89</v>
      </c>
      <c r="U56" s="12" t="str">
        <f t="shared" si="20"/>
        <v>G3</v>
      </c>
      <c r="V56" s="12">
        <f t="shared" si="21"/>
        <v>1</v>
      </c>
      <c r="W56" s="13" t="s">
        <v>72</v>
      </c>
      <c r="X56" s="14">
        <v>1.21</v>
      </c>
      <c r="Y56" s="15">
        <f t="shared" si="22"/>
        <v>46.282499999999999</v>
      </c>
      <c r="Z56" s="16">
        <f t="shared" si="23"/>
        <v>8.0324999999999989</v>
      </c>
    </row>
    <row r="57" spans="1:26" ht="15" customHeight="1" x14ac:dyDescent="0.2">
      <c r="A57" s="17" t="s">
        <v>71</v>
      </c>
      <c r="B57" s="18" t="s">
        <v>46</v>
      </c>
      <c r="C57" s="18" t="s">
        <v>38</v>
      </c>
      <c r="D57" s="13">
        <v>1</v>
      </c>
      <c r="E57" s="13">
        <v>2.5</v>
      </c>
      <c r="F57" s="13">
        <v>2.5</v>
      </c>
      <c r="G57" s="13">
        <v>1.5</v>
      </c>
      <c r="H57" s="13">
        <v>2</v>
      </c>
      <c r="I57" s="13">
        <v>2.5</v>
      </c>
      <c r="J57" s="13">
        <v>1</v>
      </c>
      <c r="K57" s="13">
        <f t="shared" si="12"/>
        <v>12.5</v>
      </c>
      <c r="L57" s="13">
        <f t="shared" si="13"/>
        <v>2.5</v>
      </c>
      <c r="M57" s="13">
        <f t="shared" si="14"/>
        <v>1.5</v>
      </c>
      <c r="N57" s="13">
        <f t="shared" si="15"/>
        <v>3</v>
      </c>
      <c r="O57" s="13">
        <f t="shared" si="16"/>
        <v>1.25</v>
      </c>
      <c r="P57" s="13">
        <f t="shared" si="17"/>
        <v>0.5</v>
      </c>
      <c r="Q57" s="19">
        <f t="shared" si="18"/>
        <v>21.25</v>
      </c>
      <c r="R57" s="15">
        <f t="shared" si="19"/>
        <v>21.25</v>
      </c>
      <c r="S57" s="10">
        <v>10</v>
      </c>
      <c r="T57" s="20">
        <v>0.98</v>
      </c>
      <c r="U57" s="21" t="str">
        <f t="shared" si="20"/>
        <v>G2</v>
      </c>
      <c r="V57" s="21">
        <f t="shared" si="21"/>
        <v>1</v>
      </c>
      <c r="W57" s="13" t="s">
        <v>72</v>
      </c>
      <c r="X57" s="14">
        <v>1.2</v>
      </c>
      <c r="Y57" s="15">
        <f t="shared" si="22"/>
        <v>25.5</v>
      </c>
      <c r="Z57" s="16">
        <f t="shared" si="23"/>
        <v>4.25</v>
      </c>
    </row>
    <row r="58" spans="1:26" ht="15" customHeight="1" x14ac:dyDescent="0.2">
      <c r="A58" s="5" t="s">
        <v>71</v>
      </c>
      <c r="B58" s="6" t="s">
        <v>37</v>
      </c>
      <c r="C58" s="6" t="s">
        <v>38</v>
      </c>
      <c r="D58" s="7">
        <v>1</v>
      </c>
      <c r="E58" s="7">
        <v>2.5</v>
      </c>
      <c r="F58" s="7">
        <v>2.5</v>
      </c>
      <c r="G58" s="7">
        <v>1.5</v>
      </c>
      <c r="H58" s="7">
        <v>2</v>
      </c>
      <c r="I58" s="7">
        <v>2.5</v>
      </c>
      <c r="J58" s="7">
        <v>1</v>
      </c>
      <c r="K58" s="7">
        <f t="shared" si="12"/>
        <v>12.5</v>
      </c>
      <c r="L58" s="7">
        <f t="shared" si="13"/>
        <v>2.5</v>
      </c>
      <c r="M58" s="7">
        <f t="shared" si="14"/>
        <v>1.5</v>
      </c>
      <c r="N58" s="7">
        <f t="shared" si="15"/>
        <v>3</v>
      </c>
      <c r="O58" s="7">
        <f t="shared" si="16"/>
        <v>1.25</v>
      </c>
      <c r="P58" s="7">
        <f t="shared" si="17"/>
        <v>0.5</v>
      </c>
      <c r="Q58" s="8">
        <f t="shared" si="18"/>
        <v>21.25</v>
      </c>
      <c r="R58" s="9">
        <f t="shared" si="19"/>
        <v>21.25</v>
      </c>
      <c r="S58" s="10">
        <v>3</v>
      </c>
      <c r="T58" s="11">
        <v>0.82</v>
      </c>
      <c r="U58" s="12" t="str">
        <f t="shared" si="20"/>
        <v>G2</v>
      </c>
      <c r="V58" s="12">
        <f t="shared" si="21"/>
        <v>0</v>
      </c>
      <c r="W58" s="13" t="s">
        <v>72</v>
      </c>
      <c r="X58" s="14">
        <v>1.2</v>
      </c>
      <c r="Y58" s="15">
        <f t="shared" si="22"/>
        <v>25.5</v>
      </c>
      <c r="Z58" s="16">
        <f t="shared" si="23"/>
        <v>4.25</v>
      </c>
    </row>
    <row r="59" spans="1:26" ht="15" customHeight="1" x14ac:dyDescent="0.2">
      <c r="A59" s="17" t="s">
        <v>71</v>
      </c>
      <c r="B59" s="18" t="s">
        <v>62</v>
      </c>
      <c r="C59" s="18" t="s">
        <v>61</v>
      </c>
      <c r="D59" s="13">
        <v>1.3</v>
      </c>
      <c r="E59" s="13">
        <v>2.5</v>
      </c>
      <c r="F59" s="13">
        <v>2.5</v>
      </c>
      <c r="G59" s="13">
        <v>1.5</v>
      </c>
      <c r="H59" s="13">
        <v>2</v>
      </c>
      <c r="I59" s="13">
        <v>2.5</v>
      </c>
      <c r="J59" s="13">
        <v>1</v>
      </c>
      <c r="K59" s="13">
        <f t="shared" si="12"/>
        <v>12.5</v>
      </c>
      <c r="L59" s="13">
        <f t="shared" si="13"/>
        <v>2.5</v>
      </c>
      <c r="M59" s="13">
        <f t="shared" si="14"/>
        <v>1.5</v>
      </c>
      <c r="N59" s="13">
        <f t="shared" si="15"/>
        <v>3</v>
      </c>
      <c r="O59" s="13">
        <f t="shared" si="16"/>
        <v>1.25</v>
      </c>
      <c r="P59" s="13">
        <f t="shared" si="17"/>
        <v>0.5</v>
      </c>
      <c r="Q59" s="19">
        <f t="shared" si="18"/>
        <v>21.25</v>
      </c>
      <c r="R59" s="15">
        <f t="shared" si="19"/>
        <v>27.625</v>
      </c>
      <c r="S59" s="10">
        <v>0</v>
      </c>
      <c r="T59" s="20">
        <v>0.46</v>
      </c>
      <c r="U59" s="21" t="str">
        <f t="shared" si="20"/>
        <v>G2-3</v>
      </c>
      <c r="V59" s="21">
        <f t="shared" si="21"/>
        <v>0</v>
      </c>
      <c r="W59" s="13" t="s">
        <v>72</v>
      </c>
      <c r="X59" s="14">
        <v>1</v>
      </c>
      <c r="Y59" s="15">
        <f t="shared" si="22"/>
        <v>27.625</v>
      </c>
      <c r="Z59" s="16">
        <f t="shared" si="23"/>
        <v>0</v>
      </c>
    </row>
    <row r="60" spans="1:26" ht="15" customHeight="1" x14ac:dyDescent="0.2">
      <c r="A60" s="5" t="s">
        <v>71</v>
      </c>
      <c r="B60" s="6" t="s">
        <v>31</v>
      </c>
      <c r="C60" s="6" t="s">
        <v>28</v>
      </c>
      <c r="D60" s="7">
        <v>1.8</v>
      </c>
      <c r="E60" s="7">
        <v>2.5</v>
      </c>
      <c r="F60" s="7">
        <v>2.5</v>
      </c>
      <c r="G60" s="7">
        <v>1.5</v>
      </c>
      <c r="H60" s="7">
        <v>2</v>
      </c>
      <c r="I60" s="7">
        <v>2.5</v>
      </c>
      <c r="J60" s="7">
        <v>1</v>
      </c>
      <c r="K60" s="7">
        <f t="shared" si="12"/>
        <v>12.5</v>
      </c>
      <c r="L60" s="7">
        <f t="shared" si="13"/>
        <v>2.5</v>
      </c>
      <c r="M60" s="7">
        <f t="shared" si="14"/>
        <v>1.5</v>
      </c>
      <c r="N60" s="7">
        <f t="shared" si="15"/>
        <v>3</v>
      </c>
      <c r="O60" s="7">
        <f t="shared" si="16"/>
        <v>1.25</v>
      </c>
      <c r="P60" s="7">
        <f t="shared" si="17"/>
        <v>0.5</v>
      </c>
      <c r="Q60" s="8">
        <f t="shared" si="18"/>
        <v>21.25</v>
      </c>
      <c r="R60" s="9">
        <f t="shared" si="19"/>
        <v>38.25</v>
      </c>
      <c r="S60" s="10">
        <v>8</v>
      </c>
      <c r="T60" s="11">
        <v>0.65</v>
      </c>
      <c r="U60" s="12" t="str">
        <f t="shared" si="20"/>
        <v>G3</v>
      </c>
      <c r="V60" s="12">
        <f t="shared" si="21"/>
        <v>0</v>
      </c>
      <c r="W60" s="13" t="s">
        <v>72</v>
      </c>
      <c r="X60" s="14">
        <v>1.21</v>
      </c>
      <c r="Y60" s="15">
        <f t="shared" si="22"/>
        <v>46.282499999999999</v>
      </c>
      <c r="Z60" s="16">
        <f t="shared" si="23"/>
        <v>8.0324999999999989</v>
      </c>
    </row>
    <row r="61" spans="1:26" ht="15" customHeight="1" x14ac:dyDescent="0.2">
      <c r="A61" s="17" t="s">
        <v>71</v>
      </c>
      <c r="B61" s="18" t="s">
        <v>45</v>
      </c>
      <c r="C61" s="18" t="s">
        <v>36</v>
      </c>
      <c r="D61" s="13">
        <v>1</v>
      </c>
      <c r="E61" s="13">
        <v>2.5</v>
      </c>
      <c r="F61" s="13">
        <v>2.5</v>
      </c>
      <c r="G61" s="13">
        <v>1.5</v>
      </c>
      <c r="H61" s="13">
        <v>2</v>
      </c>
      <c r="I61" s="13">
        <v>2.5</v>
      </c>
      <c r="J61" s="13">
        <v>1</v>
      </c>
      <c r="K61" s="13">
        <f t="shared" si="12"/>
        <v>12.5</v>
      </c>
      <c r="L61" s="13">
        <f t="shared" si="13"/>
        <v>2.5</v>
      </c>
      <c r="M61" s="13">
        <f t="shared" si="14"/>
        <v>1.5</v>
      </c>
      <c r="N61" s="13">
        <f t="shared" si="15"/>
        <v>3</v>
      </c>
      <c r="O61" s="13">
        <f t="shared" si="16"/>
        <v>1.25</v>
      </c>
      <c r="P61" s="13">
        <f t="shared" si="17"/>
        <v>0.5</v>
      </c>
      <c r="Q61" s="19">
        <f t="shared" si="18"/>
        <v>21.25</v>
      </c>
      <c r="R61" s="15">
        <f t="shared" si="19"/>
        <v>21.25</v>
      </c>
      <c r="S61" s="10">
        <v>5</v>
      </c>
      <c r="T61" s="20">
        <v>0.7</v>
      </c>
      <c r="U61" s="21" t="str">
        <f t="shared" si="20"/>
        <v>G2</v>
      </c>
      <c r="V61" s="21">
        <f t="shared" si="21"/>
        <v>0</v>
      </c>
      <c r="W61" s="13" t="s">
        <v>72</v>
      </c>
      <c r="X61" s="14">
        <v>0.93</v>
      </c>
      <c r="Y61" s="15">
        <f t="shared" si="22"/>
        <v>19.762499999999999</v>
      </c>
      <c r="Z61" s="16">
        <f t="shared" si="23"/>
        <v>-1.4875000000000007</v>
      </c>
    </row>
    <row r="62" spans="1:26" ht="15" customHeight="1" x14ac:dyDescent="0.2">
      <c r="A62" s="5" t="s">
        <v>71</v>
      </c>
      <c r="B62" s="6" t="s">
        <v>47</v>
      </c>
      <c r="C62" s="6" t="s">
        <v>28</v>
      </c>
      <c r="D62" s="7">
        <v>1.8</v>
      </c>
      <c r="E62" s="7">
        <v>2.5</v>
      </c>
      <c r="F62" s="7">
        <v>2.5</v>
      </c>
      <c r="G62" s="7">
        <v>1.5</v>
      </c>
      <c r="H62" s="7">
        <v>2</v>
      </c>
      <c r="I62" s="7">
        <v>2.5</v>
      </c>
      <c r="J62" s="7">
        <v>1</v>
      </c>
      <c r="K62" s="7">
        <f t="shared" si="12"/>
        <v>12.5</v>
      </c>
      <c r="L62" s="7">
        <f t="shared" si="13"/>
        <v>2.5</v>
      </c>
      <c r="M62" s="7">
        <f t="shared" si="14"/>
        <v>1.5</v>
      </c>
      <c r="N62" s="7">
        <f t="shared" si="15"/>
        <v>3</v>
      </c>
      <c r="O62" s="7">
        <f t="shared" si="16"/>
        <v>1.25</v>
      </c>
      <c r="P62" s="7">
        <f t="shared" si="17"/>
        <v>0.5</v>
      </c>
      <c r="Q62" s="8">
        <f t="shared" si="18"/>
        <v>21.25</v>
      </c>
      <c r="R62" s="9">
        <f t="shared" si="19"/>
        <v>38.25</v>
      </c>
      <c r="S62" s="10">
        <v>6</v>
      </c>
      <c r="T62" s="11">
        <v>0.19</v>
      </c>
      <c r="U62" s="12" t="str">
        <f t="shared" si="20"/>
        <v>G3</v>
      </c>
      <c r="V62" s="12">
        <f t="shared" si="21"/>
        <v>0</v>
      </c>
      <c r="W62" s="13" t="s">
        <v>72</v>
      </c>
      <c r="X62" s="14">
        <v>1.21</v>
      </c>
      <c r="Y62" s="15">
        <f t="shared" si="22"/>
        <v>46.282499999999999</v>
      </c>
      <c r="Z62" s="16">
        <f t="shared" si="23"/>
        <v>8.0324999999999989</v>
      </c>
    </row>
    <row r="63" spans="1:26" ht="15" customHeight="1" x14ac:dyDescent="0.2">
      <c r="A63" s="17" t="s">
        <v>71</v>
      </c>
      <c r="B63" s="18" t="s">
        <v>68</v>
      </c>
      <c r="C63" s="18" t="s">
        <v>38</v>
      </c>
      <c r="D63" s="13">
        <v>1</v>
      </c>
      <c r="E63" s="13">
        <v>2.5</v>
      </c>
      <c r="F63" s="13">
        <v>2.5</v>
      </c>
      <c r="G63" s="13">
        <v>1.5</v>
      </c>
      <c r="H63" s="13">
        <v>2</v>
      </c>
      <c r="I63" s="13">
        <v>2.5</v>
      </c>
      <c r="J63" s="13">
        <v>1</v>
      </c>
      <c r="K63" s="13">
        <f t="shared" si="12"/>
        <v>12.5</v>
      </c>
      <c r="L63" s="13">
        <f t="shared" si="13"/>
        <v>2.5</v>
      </c>
      <c r="M63" s="13">
        <f t="shared" si="14"/>
        <v>1.5</v>
      </c>
      <c r="N63" s="13">
        <f t="shared" si="15"/>
        <v>3</v>
      </c>
      <c r="O63" s="13">
        <f t="shared" si="16"/>
        <v>1.25</v>
      </c>
      <c r="P63" s="13">
        <f t="shared" si="17"/>
        <v>0.5</v>
      </c>
      <c r="Q63" s="19">
        <f t="shared" si="18"/>
        <v>21.25</v>
      </c>
      <c r="R63" s="15">
        <f t="shared" si="19"/>
        <v>21.25</v>
      </c>
      <c r="S63" s="10">
        <v>3</v>
      </c>
      <c r="T63" s="20">
        <v>0.47</v>
      </c>
      <c r="U63" s="21" t="str">
        <f t="shared" si="20"/>
        <v>G2</v>
      </c>
      <c r="V63" s="21">
        <f t="shared" si="21"/>
        <v>0</v>
      </c>
      <c r="W63" s="13" t="s">
        <v>72</v>
      </c>
      <c r="X63" s="14">
        <v>1.2</v>
      </c>
      <c r="Y63" s="15">
        <f t="shared" si="22"/>
        <v>25.5</v>
      </c>
      <c r="Z63" s="16">
        <f t="shared" si="23"/>
        <v>4.25</v>
      </c>
    </row>
    <row r="64" spans="1:26" ht="15" customHeight="1" x14ac:dyDescent="0.2">
      <c r="A64" s="5" t="s">
        <v>73</v>
      </c>
      <c r="B64" s="6" t="s">
        <v>74</v>
      </c>
      <c r="C64" s="6" t="s">
        <v>75</v>
      </c>
      <c r="D64" s="7">
        <v>1.6</v>
      </c>
      <c r="E64" s="7">
        <v>2</v>
      </c>
      <c r="F64" s="7">
        <v>2</v>
      </c>
      <c r="G64" s="7">
        <v>1.5</v>
      </c>
      <c r="H64" s="7">
        <v>0.5</v>
      </c>
      <c r="I64" s="7">
        <v>0.5</v>
      </c>
      <c r="J64" s="7">
        <v>2</v>
      </c>
      <c r="K64" s="7">
        <f t="shared" si="12"/>
        <v>10</v>
      </c>
      <c r="L64" s="7">
        <f t="shared" si="13"/>
        <v>2</v>
      </c>
      <c r="M64" s="7">
        <f t="shared" si="14"/>
        <v>1.5</v>
      </c>
      <c r="N64" s="7">
        <f t="shared" si="15"/>
        <v>0.75</v>
      </c>
      <c r="O64" s="7">
        <f t="shared" si="16"/>
        <v>0.25</v>
      </c>
      <c r="P64" s="7">
        <f t="shared" si="17"/>
        <v>1</v>
      </c>
      <c r="Q64" s="8">
        <f t="shared" si="18"/>
        <v>15.5</v>
      </c>
      <c r="R64" s="9">
        <f t="shared" si="19"/>
        <v>24.8</v>
      </c>
      <c r="S64" s="10">
        <v>27</v>
      </c>
      <c r="T64" s="11">
        <v>1.51</v>
      </c>
      <c r="U64" s="12" t="str">
        <f t="shared" si="20"/>
        <v>G2</v>
      </c>
      <c r="V64" s="12">
        <f t="shared" si="21"/>
        <v>1</v>
      </c>
      <c r="W64" s="13" t="s">
        <v>76</v>
      </c>
      <c r="X64" s="14">
        <v>1.54</v>
      </c>
      <c r="Y64" s="15">
        <f t="shared" si="22"/>
        <v>38.192</v>
      </c>
      <c r="Z64" s="16">
        <f t="shared" si="23"/>
        <v>13.391999999999999</v>
      </c>
    </row>
    <row r="65" spans="1:26" ht="15" customHeight="1" x14ac:dyDescent="0.2">
      <c r="A65" s="17" t="s">
        <v>73</v>
      </c>
      <c r="B65" s="18" t="s">
        <v>27</v>
      </c>
      <c r="C65" s="18" t="s">
        <v>28</v>
      </c>
      <c r="D65" s="13">
        <v>1.8</v>
      </c>
      <c r="E65" s="13">
        <v>2</v>
      </c>
      <c r="F65" s="13">
        <v>2</v>
      </c>
      <c r="G65" s="13">
        <v>1.5</v>
      </c>
      <c r="H65" s="13">
        <v>0.5</v>
      </c>
      <c r="I65" s="13">
        <v>0.5</v>
      </c>
      <c r="J65" s="13">
        <v>2</v>
      </c>
      <c r="K65" s="13">
        <f t="shared" si="12"/>
        <v>10</v>
      </c>
      <c r="L65" s="13">
        <f t="shared" si="13"/>
        <v>2</v>
      </c>
      <c r="M65" s="13">
        <f t="shared" si="14"/>
        <v>1.5</v>
      </c>
      <c r="N65" s="13">
        <f t="shared" si="15"/>
        <v>0.75</v>
      </c>
      <c r="O65" s="13">
        <f t="shared" si="16"/>
        <v>0.25</v>
      </c>
      <c r="P65" s="13">
        <f t="shared" si="17"/>
        <v>1</v>
      </c>
      <c r="Q65" s="19">
        <f t="shared" si="18"/>
        <v>15.5</v>
      </c>
      <c r="R65" s="15">
        <f t="shared" si="19"/>
        <v>27.900000000000002</v>
      </c>
      <c r="S65" s="10">
        <v>20</v>
      </c>
      <c r="T65" s="20">
        <v>1.26</v>
      </c>
      <c r="U65" s="21" t="str">
        <f t="shared" si="20"/>
        <v>G2-3</v>
      </c>
      <c r="V65" s="21">
        <f t="shared" si="21"/>
        <v>1</v>
      </c>
      <c r="W65" s="13" t="s">
        <v>76</v>
      </c>
      <c r="X65" s="14">
        <v>1.4</v>
      </c>
      <c r="Y65" s="15">
        <f t="shared" si="22"/>
        <v>39.06</v>
      </c>
      <c r="Z65" s="16">
        <f t="shared" si="23"/>
        <v>11.16</v>
      </c>
    </row>
    <row r="66" spans="1:26" ht="15" customHeight="1" x14ac:dyDescent="0.2">
      <c r="A66" s="5" t="s">
        <v>73</v>
      </c>
      <c r="B66" s="6" t="s">
        <v>77</v>
      </c>
      <c r="C66" s="6" t="s">
        <v>75</v>
      </c>
      <c r="D66" s="7">
        <v>1.6</v>
      </c>
      <c r="E66" s="7">
        <v>2</v>
      </c>
      <c r="F66" s="7">
        <v>2</v>
      </c>
      <c r="G66" s="7">
        <v>1.5</v>
      </c>
      <c r="H66" s="7">
        <v>0.5</v>
      </c>
      <c r="I66" s="7">
        <v>0.5</v>
      </c>
      <c r="J66" s="7">
        <v>2</v>
      </c>
      <c r="K66" s="7">
        <f t="shared" ref="K66:K97" si="24">5*E66</f>
        <v>10</v>
      </c>
      <c r="L66" s="7">
        <f t="shared" ref="L66:L97" si="25">1*F66</f>
        <v>2</v>
      </c>
      <c r="M66" s="7">
        <f t="shared" ref="M66:M97" si="26">1*G66</f>
        <v>1.5</v>
      </c>
      <c r="N66" s="7">
        <f t="shared" ref="N66:N97" si="27">1.5*H66</f>
        <v>0.75</v>
      </c>
      <c r="O66" s="7">
        <f t="shared" ref="O66:O97" si="28">0.5*I66</f>
        <v>0.25</v>
      </c>
      <c r="P66" s="7">
        <f t="shared" ref="P66:P97" si="29">0.5*J66</f>
        <v>1</v>
      </c>
      <c r="Q66" s="8">
        <f t="shared" ref="Q66:Q97" si="30">SUM(K66:P66)</f>
        <v>15.5</v>
      </c>
      <c r="R66" s="9">
        <f t="shared" ref="R66:R97" si="31">Q66*D66</f>
        <v>24.8</v>
      </c>
      <c r="S66" s="10">
        <v>4</v>
      </c>
      <c r="T66" s="11">
        <v>0.8</v>
      </c>
      <c r="U66" s="12" t="str">
        <f t="shared" ref="U66:U97" si="32">IF(R66&lt;12,"G1",IF(R66&lt;18,"G1-2",IF(R66&lt;25,"G2",IF(R66&lt;35,"G2-3",IF(R66&lt;45,"G3","G3-4")))))</f>
        <v>G2</v>
      </c>
      <c r="V66" s="12">
        <f t="shared" ref="V66:V97" si="33">IF(S66&gt;=10,1,0)</f>
        <v>0</v>
      </c>
      <c r="W66" s="13" t="s">
        <v>76</v>
      </c>
      <c r="X66" s="14">
        <v>1.54</v>
      </c>
      <c r="Y66" s="15">
        <f t="shared" ref="Y66:Y97" si="34">Q66*D66*X66</f>
        <v>38.192</v>
      </c>
      <c r="Z66" s="16">
        <f t="shared" ref="Z66:Z97" si="35">Y66-R66</f>
        <v>13.391999999999999</v>
      </c>
    </row>
    <row r="67" spans="1:26" ht="15" customHeight="1" x14ac:dyDescent="0.2">
      <c r="A67" s="17" t="s">
        <v>73</v>
      </c>
      <c r="B67" s="18" t="s">
        <v>31</v>
      </c>
      <c r="C67" s="18" t="s">
        <v>28</v>
      </c>
      <c r="D67" s="13">
        <v>1.8</v>
      </c>
      <c r="E67" s="13">
        <v>2</v>
      </c>
      <c r="F67" s="13">
        <v>2</v>
      </c>
      <c r="G67" s="13">
        <v>1.5</v>
      </c>
      <c r="H67" s="13">
        <v>0.5</v>
      </c>
      <c r="I67" s="13">
        <v>0.5</v>
      </c>
      <c r="J67" s="13">
        <v>2</v>
      </c>
      <c r="K67" s="13">
        <f t="shared" si="24"/>
        <v>10</v>
      </c>
      <c r="L67" s="13">
        <f t="shared" si="25"/>
        <v>2</v>
      </c>
      <c r="M67" s="13">
        <f t="shared" si="26"/>
        <v>1.5</v>
      </c>
      <c r="N67" s="13">
        <f t="shared" si="27"/>
        <v>0.75</v>
      </c>
      <c r="O67" s="13">
        <f t="shared" si="28"/>
        <v>0.25</v>
      </c>
      <c r="P67" s="13">
        <f t="shared" si="29"/>
        <v>1</v>
      </c>
      <c r="Q67" s="19">
        <f t="shared" si="30"/>
        <v>15.5</v>
      </c>
      <c r="R67" s="15">
        <f t="shared" si="31"/>
        <v>27.900000000000002</v>
      </c>
      <c r="S67" s="10">
        <v>20</v>
      </c>
      <c r="T67" s="20">
        <v>0.85</v>
      </c>
      <c r="U67" s="21" t="str">
        <f t="shared" si="32"/>
        <v>G2-3</v>
      </c>
      <c r="V67" s="21">
        <f t="shared" si="33"/>
        <v>1</v>
      </c>
      <c r="W67" s="13" t="s">
        <v>76</v>
      </c>
      <c r="X67" s="14">
        <v>1.4</v>
      </c>
      <c r="Y67" s="15">
        <f t="shared" si="34"/>
        <v>39.06</v>
      </c>
      <c r="Z67" s="16">
        <f t="shared" si="35"/>
        <v>11.16</v>
      </c>
    </row>
    <row r="68" spans="1:26" ht="15" customHeight="1" x14ac:dyDescent="0.2">
      <c r="A68" s="5" t="s">
        <v>73</v>
      </c>
      <c r="B68" s="6" t="s">
        <v>37</v>
      </c>
      <c r="C68" s="6" t="s">
        <v>38</v>
      </c>
      <c r="D68" s="7">
        <v>1</v>
      </c>
      <c r="E68" s="7">
        <v>2</v>
      </c>
      <c r="F68" s="7">
        <v>2</v>
      </c>
      <c r="G68" s="7">
        <v>1.5</v>
      </c>
      <c r="H68" s="7">
        <v>0.5</v>
      </c>
      <c r="I68" s="7">
        <v>0.5</v>
      </c>
      <c r="J68" s="7">
        <v>2</v>
      </c>
      <c r="K68" s="7">
        <f t="shared" si="24"/>
        <v>10</v>
      </c>
      <c r="L68" s="7">
        <f t="shared" si="25"/>
        <v>2</v>
      </c>
      <c r="M68" s="7">
        <f t="shared" si="26"/>
        <v>1.5</v>
      </c>
      <c r="N68" s="7">
        <f t="shared" si="27"/>
        <v>0.75</v>
      </c>
      <c r="O68" s="7">
        <f t="shared" si="28"/>
        <v>0.25</v>
      </c>
      <c r="P68" s="7">
        <f t="shared" si="29"/>
        <v>1</v>
      </c>
      <c r="Q68" s="8">
        <f t="shared" si="30"/>
        <v>15.5</v>
      </c>
      <c r="R68" s="9">
        <f t="shared" si="31"/>
        <v>15.5</v>
      </c>
      <c r="S68" s="10">
        <v>2</v>
      </c>
      <c r="T68" s="11">
        <v>0.35</v>
      </c>
      <c r="U68" s="12" t="str">
        <f t="shared" si="32"/>
        <v>G1-2</v>
      </c>
      <c r="V68" s="12">
        <f t="shared" si="33"/>
        <v>0</v>
      </c>
      <c r="W68" s="13" t="s">
        <v>76</v>
      </c>
      <c r="X68" s="14">
        <v>1</v>
      </c>
      <c r="Y68" s="15">
        <f t="shared" si="34"/>
        <v>15.5</v>
      </c>
      <c r="Z68" s="16">
        <f t="shared" si="35"/>
        <v>0</v>
      </c>
    </row>
    <row r="69" spans="1:26" ht="15" customHeight="1" x14ac:dyDescent="0.2">
      <c r="A69" s="17" t="s">
        <v>73</v>
      </c>
      <c r="B69" s="18" t="s">
        <v>78</v>
      </c>
      <c r="C69" s="18" t="s">
        <v>75</v>
      </c>
      <c r="D69" s="13">
        <v>1.6</v>
      </c>
      <c r="E69" s="13">
        <v>2</v>
      </c>
      <c r="F69" s="13">
        <v>2</v>
      </c>
      <c r="G69" s="13">
        <v>1.5</v>
      </c>
      <c r="H69" s="13">
        <v>0.5</v>
      </c>
      <c r="I69" s="13">
        <v>0.5</v>
      </c>
      <c r="J69" s="13">
        <v>2</v>
      </c>
      <c r="K69" s="13">
        <f t="shared" si="24"/>
        <v>10</v>
      </c>
      <c r="L69" s="13">
        <f t="shared" si="25"/>
        <v>2</v>
      </c>
      <c r="M69" s="13">
        <f t="shared" si="26"/>
        <v>1.5</v>
      </c>
      <c r="N69" s="13">
        <f t="shared" si="27"/>
        <v>0.75</v>
      </c>
      <c r="O69" s="13">
        <f t="shared" si="28"/>
        <v>0.25</v>
      </c>
      <c r="P69" s="13">
        <f t="shared" si="29"/>
        <v>1</v>
      </c>
      <c r="Q69" s="19">
        <f t="shared" si="30"/>
        <v>15.5</v>
      </c>
      <c r="R69" s="15">
        <f t="shared" si="31"/>
        <v>24.8</v>
      </c>
      <c r="S69" s="10">
        <v>1</v>
      </c>
      <c r="T69" s="20">
        <v>0.3</v>
      </c>
      <c r="U69" s="21" t="str">
        <f t="shared" si="32"/>
        <v>G2</v>
      </c>
      <c r="V69" s="21">
        <f t="shared" si="33"/>
        <v>0</v>
      </c>
      <c r="W69" s="13" t="s">
        <v>76</v>
      </c>
      <c r="X69" s="14">
        <v>1.54</v>
      </c>
      <c r="Y69" s="15">
        <f t="shared" si="34"/>
        <v>38.192</v>
      </c>
      <c r="Z69" s="16">
        <f t="shared" si="35"/>
        <v>13.391999999999999</v>
      </c>
    </row>
    <row r="70" spans="1:26" ht="15" customHeight="1" x14ac:dyDescent="0.2">
      <c r="A70" s="5" t="s">
        <v>73</v>
      </c>
      <c r="B70" s="6" t="s">
        <v>45</v>
      </c>
      <c r="C70" s="6" t="s">
        <v>36</v>
      </c>
      <c r="D70" s="7">
        <v>1</v>
      </c>
      <c r="E70" s="7">
        <v>2</v>
      </c>
      <c r="F70" s="7">
        <v>2</v>
      </c>
      <c r="G70" s="7">
        <v>1.5</v>
      </c>
      <c r="H70" s="7">
        <v>0.5</v>
      </c>
      <c r="I70" s="7">
        <v>0.5</v>
      </c>
      <c r="J70" s="7">
        <v>2</v>
      </c>
      <c r="K70" s="7">
        <f t="shared" si="24"/>
        <v>10</v>
      </c>
      <c r="L70" s="7">
        <f t="shared" si="25"/>
        <v>2</v>
      </c>
      <c r="M70" s="7">
        <f t="shared" si="26"/>
        <v>1.5</v>
      </c>
      <c r="N70" s="7">
        <f t="shared" si="27"/>
        <v>0.75</v>
      </c>
      <c r="O70" s="7">
        <f t="shared" si="28"/>
        <v>0.25</v>
      </c>
      <c r="P70" s="7">
        <f t="shared" si="29"/>
        <v>1</v>
      </c>
      <c r="Q70" s="8">
        <f t="shared" si="30"/>
        <v>15.5</v>
      </c>
      <c r="R70" s="9">
        <f t="shared" si="31"/>
        <v>15.5</v>
      </c>
      <c r="S70" s="10">
        <v>2</v>
      </c>
      <c r="T70" s="11">
        <v>0.4</v>
      </c>
      <c r="U70" s="12" t="str">
        <f t="shared" si="32"/>
        <v>G1-2</v>
      </c>
      <c r="V70" s="12">
        <f t="shared" si="33"/>
        <v>0</v>
      </c>
      <c r="W70" s="13" t="s">
        <v>76</v>
      </c>
      <c r="X70" s="14">
        <v>0.53</v>
      </c>
      <c r="Y70" s="15">
        <f t="shared" si="34"/>
        <v>8.2149999999999999</v>
      </c>
      <c r="Z70" s="16">
        <f t="shared" si="35"/>
        <v>-7.2850000000000001</v>
      </c>
    </row>
    <row r="71" spans="1:26" ht="15" customHeight="1" x14ac:dyDescent="0.2">
      <c r="A71" s="17" t="s">
        <v>79</v>
      </c>
      <c r="B71" s="18" t="s">
        <v>80</v>
      </c>
      <c r="C71" s="18" t="s">
        <v>33</v>
      </c>
      <c r="D71" s="13">
        <v>1.2</v>
      </c>
      <c r="E71" s="13">
        <v>2.5</v>
      </c>
      <c r="F71" s="13">
        <v>0.5</v>
      </c>
      <c r="G71" s="13">
        <v>0.5</v>
      </c>
      <c r="H71" s="13">
        <v>1.5</v>
      </c>
      <c r="I71" s="13">
        <v>1.5</v>
      </c>
      <c r="J71" s="13">
        <v>1.5</v>
      </c>
      <c r="K71" s="13">
        <f t="shared" si="24"/>
        <v>12.5</v>
      </c>
      <c r="L71" s="13">
        <f t="shared" si="25"/>
        <v>0.5</v>
      </c>
      <c r="M71" s="13">
        <f t="shared" si="26"/>
        <v>0.5</v>
      </c>
      <c r="N71" s="13">
        <f t="shared" si="27"/>
        <v>2.25</v>
      </c>
      <c r="O71" s="13">
        <f t="shared" si="28"/>
        <v>0.75</v>
      </c>
      <c r="P71" s="13">
        <f t="shared" si="29"/>
        <v>0.75</v>
      </c>
      <c r="Q71" s="19">
        <f t="shared" si="30"/>
        <v>17.25</v>
      </c>
      <c r="R71" s="15">
        <f t="shared" si="31"/>
        <v>20.7</v>
      </c>
      <c r="S71" s="10">
        <v>17</v>
      </c>
      <c r="T71" s="20">
        <v>0.84</v>
      </c>
      <c r="U71" s="21" t="str">
        <f t="shared" si="32"/>
        <v>G2</v>
      </c>
      <c r="V71" s="21">
        <f t="shared" si="33"/>
        <v>1</v>
      </c>
      <c r="W71" s="13" t="s">
        <v>81</v>
      </c>
      <c r="X71" s="14">
        <v>1.1200000000000001</v>
      </c>
      <c r="Y71" s="15">
        <f t="shared" si="34"/>
        <v>23.184000000000001</v>
      </c>
      <c r="Z71" s="16">
        <f t="shared" si="35"/>
        <v>2.4840000000000018</v>
      </c>
    </row>
    <row r="72" spans="1:26" ht="15" customHeight="1" x14ac:dyDescent="0.2">
      <c r="A72" s="5" t="s">
        <v>79</v>
      </c>
      <c r="B72" s="6" t="s">
        <v>30</v>
      </c>
      <c r="C72" s="6" t="s">
        <v>28</v>
      </c>
      <c r="D72" s="7">
        <v>1.8</v>
      </c>
      <c r="E72" s="7">
        <v>2.5</v>
      </c>
      <c r="F72" s="7">
        <v>0.5</v>
      </c>
      <c r="G72" s="7">
        <v>0.5</v>
      </c>
      <c r="H72" s="7">
        <v>1.5</v>
      </c>
      <c r="I72" s="7">
        <v>1.5</v>
      </c>
      <c r="J72" s="7">
        <v>1.5</v>
      </c>
      <c r="K72" s="7">
        <f t="shared" si="24"/>
        <v>12.5</v>
      </c>
      <c r="L72" s="7">
        <f t="shared" si="25"/>
        <v>0.5</v>
      </c>
      <c r="M72" s="7">
        <f t="shared" si="26"/>
        <v>0.5</v>
      </c>
      <c r="N72" s="7">
        <f t="shared" si="27"/>
        <v>2.25</v>
      </c>
      <c r="O72" s="7">
        <f t="shared" si="28"/>
        <v>0.75</v>
      </c>
      <c r="P72" s="7">
        <f t="shared" si="29"/>
        <v>0.75</v>
      </c>
      <c r="Q72" s="8">
        <f t="shared" si="30"/>
        <v>17.25</v>
      </c>
      <c r="R72" s="9">
        <f t="shared" si="31"/>
        <v>31.05</v>
      </c>
      <c r="S72" s="10">
        <v>26</v>
      </c>
      <c r="T72" s="11">
        <v>0.97</v>
      </c>
      <c r="U72" s="12" t="str">
        <f t="shared" si="32"/>
        <v>G2-3</v>
      </c>
      <c r="V72" s="12">
        <f t="shared" si="33"/>
        <v>1</v>
      </c>
      <c r="W72" s="13" t="s">
        <v>81</v>
      </c>
      <c r="X72" s="14">
        <v>1.1399999999999999</v>
      </c>
      <c r="Y72" s="15">
        <f t="shared" si="34"/>
        <v>35.396999999999998</v>
      </c>
      <c r="Z72" s="16">
        <f t="shared" si="35"/>
        <v>4.3469999999999978</v>
      </c>
    </row>
    <row r="73" spans="1:26" ht="15" customHeight="1" x14ac:dyDescent="0.2">
      <c r="A73" s="17" t="s">
        <v>79</v>
      </c>
      <c r="B73" s="18" t="s">
        <v>27</v>
      </c>
      <c r="C73" s="18" t="s">
        <v>28</v>
      </c>
      <c r="D73" s="13">
        <v>1.8</v>
      </c>
      <c r="E73" s="13">
        <v>2.5</v>
      </c>
      <c r="F73" s="13">
        <v>0.5</v>
      </c>
      <c r="G73" s="13">
        <v>0.5</v>
      </c>
      <c r="H73" s="13">
        <v>1.5</v>
      </c>
      <c r="I73" s="13">
        <v>1.5</v>
      </c>
      <c r="J73" s="13">
        <v>1.5</v>
      </c>
      <c r="K73" s="13">
        <f t="shared" si="24"/>
        <v>12.5</v>
      </c>
      <c r="L73" s="13">
        <f t="shared" si="25"/>
        <v>0.5</v>
      </c>
      <c r="M73" s="13">
        <f t="shared" si="26"/>
        <v>0.5</v>
      </c>
      <c r="N73" s="13">
        <f t="shared" si="27"/>
        <v>2.25</v>
      </c>
      <c r="O73" s="13">
        <f t="shared" si="28"/>
        <v>0.75</v>
      </c>
      <c r="P73" s="13">
        <f t="shared" si="29"/>
        <v>0.75</v>
      </c>
      <c r="Q73" s="19">
        <f t="shared" si="30"/>
        <v>17.25</v>
      </c>
      <c r="R73" s="15">
        <f t="shared" si="31"/>
        <v>31.05</v>
      </c>
      <c r="S73" s="10">
        <v>18</v>
      </c>
      <c r="T73" s="20">
        <v>0.74</v>
      </c>
      <c r="U73" s="21" t="str">
        <f t="shared" si="32"/>
        <v>G2-3</v>
      </c>
      <c r="V73" s="21">
        <f t="shared" si="33"/>
        <v>1</v>
      </c>
      <c r="W73" s="13" t="s">
        <v>81</v>
      </c>
      <c r="X73" s="14">
        <v>1.1399999999999999</v>
      </c>
      <c r="Y73" s="15">
        <f t="shared" si="34"/>
        <v>35.396999999999998</v>
      </c>
      <c r="Z73" s="16">
        <f t="shared" si="35"/>
        <v>4.3469999999999978</v>
      </c>
    </row>
    <row r="74" spans="1:26" ht="15" customHeight="1" x14ac:dyDescent="0.2">
      <c r="A74" s="5" t="s">
        <v>79</v>
      </c>
      <c r="B74" s="6" t="s">
        <v>82</v>
      </c>
      <c r="C74" s="6" t="s">
        <v>49</v>
      </c>
      <c r="D74" s="7">
        <v>1.5</v>
      </c>
      <c r="E74" s="7">
        <v>2.5</v>
      </c>
      <c r="F74" s="7">
        <v>0.5</v>
      </c>
      <c r="G74" s="7">
        <v>0.5</v>
      </c>
      <c r="H74" s="7">
        <v>1.5</v>
      </c>
      <c r="I74" s="7">
        <v>1.5</v>
      </c>
      <c r="J74" s="7">
        <v>1.5</v>
      </c>
      <c r="K74" s="7">
        <f t="shared" si="24"/>
        <v>12.5</v>
      </c>
      <c r="L74" s="7">
        <f t="shared" si="25"/>
        <v>0.5</v>
      </c>
      <c r="M74" s="7">
        <f t="shared" si="26"/>
        <v>0.5</v>
      </c>
      <c r="N74" s="7">
        <f t="shared" si="27"/>
        <v>2.25</v>
      </c>
      <c r="O74" s="7">
        <f t="shared" si="28"/>
        <v>0.75</v>
      </c>
      <c r="P74" s="7">
        <f t="shared" si="29"/>
        <v>0.75</v>
      </c>
      <c r="Q74" s="8">
        <f t="shared" si="30"/>
        <v>17.25</v>
      </c>
      <c r="R74" s="9">
        <f t="shared" si="31"/>
        <v>25.875</v>
      </c>
      <c r="S74" s="10">
        <v>3</v>
      </c>
      <c r="T74" s="11">
        <v>0.46</v>
      </c>
      <c r="U74" s="12" t="str">
        <f t="shared" si="32"/>
        <v>G2-3</v>
      </c>
      <c r="V74" s="12">
        <f t="shared" si="33"/>
        <v>0</v>
      </c>
      <c r="W74" s="13" t="s">
        <v>81</v>
      </c>
      <c r="X74" s="14">
        <v>0.61</v>
      </c>
      <c r="Y74" s="15">
        <f t="shared" si="34"/>
        <v>15.78375</v>
      </c>
      <c r="Z74" s="16">
        <f t="shared" si="35"/>
        <v>-10.09125</v>
      </c>
    </row>
    <row r="75" spans="1:26" ht="15" customHeight="1" x14ac:dyDescent="0.2">
      <c r="A75" s="17" t="s">
        <v>79</v>
      </c>
      <c r="B75" s="18" t="s">
        <v>83</v>
      </c>
      <c r="C75" s="18" t="s">
        <v>36</v>
      </c>
      <c r="D75" s="13">
        <v>1</v>
      </c>
      <c r="E75" s="13">
        <v>2.5</v>
      </c>
      <c r="F75" s="13">
        <v>0.5</v>
      </c>
      <c r="G75" s="13">
        <v>0.5</v>
      </c>
      <c r="H75" s="13">
        <v>1.5</v>
      </c>
      <c r="I75" s="13">
        <v>1.5</v>
      </c>
      <c r="J75" s="13">
        <v>1.5</v>
      </c>
      <c r="K75" s="13">
        <f t="shared" si="24"/>
        <v>12.5</v>
      </c>
      <c r="L75" s="13">
        <f t="shared" si="25"/>
        <v>0.5</v>
      </c>
      <c r="M75" s="13">
        <f t="shared" si="26"/>
        <v>0.5</v>
      </c>
      <c r="N75" s="13">
        <f t="shared" si="27"/>
        <v>2.25</v>
      </c>
      <c r="O75" s="13">
        <f t="shared" si="28"/>
        <v>0.75</v>
      </c>
      <c r="P75" s="13">
        <f t="shared" si="29"/>
        <v>0.75</v>
      </c>
      <c r="Q75" s="19">
        <f t="shared" si="30"/>
        <v>17.25</v>
      </c>
      <c r="R75" s="15">
        <f t="shared" si="31"/>
        <v>17.25</v>
      </c>
      <c r="S75" s="10">
        <v>2</v>
      </c>
      <c r="T75" s="20">
        <v>0.37</v>
      </c>
      <c r="U75" s="21" t="str">
        <f t="shared" si="32"/>
        <v>G1-2</v>
      </c>
      <c r="V75" s="21">
        <f t="shared" si="33"/>
        <v>0</v>
      </c>
      <c r="W75" s="13" t="s">
        <v>81</v>
      </c>
      <c r="X75" s="14">
        <v>0.45</v>
      </c>
      <c r="Y75" s="15">
        <f t="shared" si="34"/>
        <v>7.7625000000000002</v>
      </c>
      <c r="Z75" s="16">
        <f t="shared" si="35"/>
        <v>-9.4875000000000007</v>
      </c>
    </row>
    <row r="76" spans="1:26" ht="15" customHeight="1" x14ac:dyDescent="0.2">
      <c r="A76" s="5" t="s">
        <v>79</v>
      </c>
      <c r="B76" s="6" t="s">
        <v>45</v>
      </c>
      <c r="C76" s="6" t="s">
        <v>36</v>
      </c>
      <c r="D76" s="7">
        <v>1</v>
      </c>
      <c r="E76" s="7">
        <v>2.5</v>
      </c>
      <c r="F76" s="7">
        <v>0.5</v>
      </c>
      <c r="G76" s="7">
        <v>0.5</v>
      </c>
      <c r="H76" s="7">
        <v>1.5</v>
      </c>
      <c r="I76" s="7">
        <v>1.5</v>
      </c>
      <c r="J76" s="7">
        <v>1.5</v>
      </c>
      <c r="K76" s="7">
        <f t="shared" si="24"/>
        <v>12.5</v>
      </c>
      <c r="L76" s="7">
        <f t="shared" si="25"/>
        <v>0.5</v>
      </c>
      <c r="M76" s="7">
        <f t="shared" si="26"/>
        <v>0.5</v>
      </c>
      <c r="N76" s="7">
        <f t="shared" si="27"/>
        <v>2.25</v>
      </c>
      <c r="O76" s="7">
        <f t="shared" si="28"/>
        <v>0.75</v>
      </c>
      <c r="P76" s="7">
        <f t="shared" si="29"/>
        <v>0.75</v>
      </c>
      <c r="Q76" s="8">
        <f t="shared" si="30"/>
        <v>17.25</v>
      </c>
      <c r="R76" s="9">
        <f t="shared" si="31"/>
        <v>17.25</v>
      </c>
      <c r="S76" s="10">
        <v>2</v>
      </c>
      <c r="T76" s="11">
        <v>0.34</v>
      </c>
      <c r="U76" s="12" t="str">
        <f t="shared" si="32"/>
        <v>G1-2</v>
      </c>
      <c r="V76" s="12">
        <f t="shared" si="33"/>
        <v>0</v>
      </c>
      <c r="W76" s="13" t="s">
        <v>81</v>
      </c>
      <c r="X76" s="14">
        <v>0.45</v>
      </c>
      <c r="Y76" s="15">
        <f t="shared" si="34"/>
        <v>7.7625000000000002</v>
      </c>
      <c r="Z76" s="16">
        <f t="shared" si="35"/>
        <v>-9.4875000000000007</v>
      </c>
    </row>
    <row r="77" spans="1:26" ht="15" customHeight="1" x14ac:dyDescent="0.2">
      <c r="A77" s="17" t="s">
        <v>79</v>
      </c>
      <c r="B77" s="18" t="s">
        <v>52</v>
      </c>
      <c r="C77" s="18" t="s">
        <v>33</v>
      </c>
      <c r="D77" s="13">
        <v>1.2</v>
      </c>
      <c r="E77" s="13">
        <v>2.5</v>
      </c>
      <c r="F77" s="13">
        <v>0.5</v>
      </c>
      <c r="G77" s="13">
        <v>0.5</v>
      </c>
      <c r="H77" s="13">
        <v>1.5</v>
      </c>
      <c r="I77" s="13">
        <v>1.5</v>
      </c>
      <c r="J77" s="13">
        <v>1.5</v>
      </c>
      <c r="K77" s="13">
        <f t="shared" si="24"/>
        <v>12.5</v>
      </c>
      <c r="L77" s="13">
        <f t="shared" si="25"/>
        <v>0.5</v>
      </c>
      <c r="M77" s="13">
        <f t="shared" si="26"/>
        <v>0.5</v>
      </c>
      <c r="N77" s="13">
        <f t="shared" si="27"/>
        <v>2.25</v>
      </c>
      <c r="O77" s="13">
        <f t="shared" si="28"/>
        <v>0.75</v>
      </c>
      <c r="P77" s="13">
        <f t="shared" si="29"/>
        <v>0.75</v>
      </c>
      <c r="Q77" s="19">
        <f t="shared" si="30"/>
        <v>17.25</v>
      </c>
      <c r="R77" s="15">
        <f t="shared" si="31"/>
        <v>20.7</v>
      </c>
      <c r="S77" s="10">
        <v>4</v>
      </c>
      <c r="T77" s="20">
        <v>0.33</v>
      </c>
      <c r="U77" s="21" t="str">
        <f t="shared" si="32"/>
        <v>G2</v>
      </c>
      <c r="V77" s="21">
        <f t="shared" si="33"/>
        <v>0</v>
      </c>
      <c r="W77" s="13" t="s">
        <v>81</v>
      </c>
      <c r="X77" s="14">
        <v>1.1200000000000001</v>
      </c>
      <c r="Y77" s="15">
        <f t="shared" si="34"/>
        <v>23.184000000000001</v>
      </c>
      <c r="Z77" s="16">
        <f t="shared" si="35"/>
        <v>2.4840000000000018</v>
      </c>
    </row>
    <row r="78" spans="1:26" ht="15" customHeight="1" x14ac:dyDescent="0.2">
      <c r="A78" s="5" t="s">
        <v>79</v>
      </c>
      <c r="B78" s="6" t="s">
        <v>84</v>
      </c>
      <c r="C78" s="6" t="s">
        <v>61</v>
      </c>
      <c r="D78" s="7">
        <v>1.3</v>
      </c>
      <c r="E78" s="7">
        <v>2.5</v>
      </c>
      <c r="F78" s="7">
        <v>0.5</v>
      </c>
      <c r="G78" s="7">
        <v>0.5</v>
      </c>
      <c r="H78" s="7">
        <v>1.5</v>
      </c>
      <c r="I78" s="7">
        <v>1.5</v>
      </c>
      <c r="J78" s="7">
        <v>1.5</v>
      </c>
      <c r="K78" s="7">
        <f t="shared" si="24"/>
        <v>12.5</v>
      </c>
      <c r="L78" s="7">
        <f t="shared" si="25"/>
        <v>0.5</v>
      </c>
      <c r="M78" s="7">
        <f t="shared" si="26"/>
        <v>0.5</v>
      </c>
      <c r="N78" s="7">
        <f t="shared" si="27"/>
        <v>2.25</v>
      </c>
      <c r="O78" s="7">
        <f t="shared" si="28"/>
        <v>0.75</v>
      </c>
      <c r="P78" s="7">
        <f t="shared" si="29"/>
        <v>0.75</v>
      </c>
      <c r="Q78" s="8">
        <f t="shared" si="30"/>
        <v>17.25</v>
      </c>
      <c r="R78" s="9">
        <f t="shared" si="31"/>
        <v>22.425000000000001</v>
      </c>
      <c r="S78" s="10">
        <v>1</v>
      </c>
      <c r="T78" s="11">
        <v>0.25</v>
      </c>
      <c r="U78" s="12" t="str">
        <f t="shared" si="32"/>
        <v>G2</v>
      </c>
      <c r="V78" s="12">
        <f t="shared" si="33"/>
        <v>0</v>
      </c>
      <c r="W78" s="13" t="s">
        <v>81</v>
      </c>
      <c r="X78" s="14">
        <v>0.33</v>
      </c>
      <c r="Y78" s="15">
        <f t="shared" si="34"/>
        <v>7.4002500000000007</v>
      </c>
      <c r="Z78" s="16">
        <f t="shared" si="35"/>
        <v>-15.024750000000001</v>
      </c>
    </row>
    <row r="79" spans="1:26" ht="15" customHeight="1" x14ac:dyDescent="0.2">
      <c r="A79" s="17" t="s">
        <v>85</v>
      </c>
      <c r="B79" s="18" t="s">
        <v>86</v>
      </c>
      <c r="C79" s="18" t="s">
        <v>40</v>
      </c>
      <c r="D79" s="13">
        <v>1.8</v>
      </c>
      <c r="E79" s="13">
        <v>1.5</v>
      </c>
      <c r="F79" s="13">
        <v>2</v>
      </c>
      <c r="G79" s="13">
        <v>2</v>
      </c>
      <c r="H79" s="13">
        <v>2</v>
      </c>
      <c r="I79" s="13">
        <v>1.5</v>
      </c>
      <c r="J79" s="13">
        <v>2.5</v>
      </c>
      <c r="K79" s="13">
        <f t="shared" si="24"/>
        <v>7.5</v>
      </c>
      <c r="L79" s="13">
        <f t="shared" si="25"/>
        <v>2</v>
      </c>
      <c r="M79" s="13">
        <f t="shared" si="26"/>
        <v>2</v>
      </c>
      <c r="N79" s="13">
        <f t="shared" si="27"/>
        <v>3</v>
      </c>
      <c r="O79" s="13">
        <f t="shared" si="28"/>
        <v>0.75</v>
      </c>
      <c r="P79" s="13">
        <f t="shared" si="29"/>
        <v>1.25</v>
      </c>
      <c r="Q79" s="19">
        <f t="shared" si="30"/>
        <v>16.5</v>
      </c>
      <c r="R79" s="15">
        <f t="shared" si="31"/>
        <v>29.7</v>
      </c>
      <c r="S79" s="10">
        <v>5</v>
      </c>
      <c r="T79" s="20">
        <v>0.9</v>
      </c>
      <c r="U79" s="21" t="str">
        <f t="shared" si="32"/>
        <v>G2-3</v>
      </c>
      <c r="V79" s="21">
        <f t="shared" si="33"/>
        <v>0</v>
      </c>
      <c r="W79" s="13" t="s">
        <v>42</v>
      </c>
      <c r="X79" s="14">
        <v>1.2</v>
      </c>
      <c r="Y79" s="15">
        <f t="shared" si="34"/>
        <v>35.64</v>
      </c>
      <c r="Z79" s="16">
        <f t="shared" si="35"/>
        <v>5.9400000000000013</v>
      </c>
    </row>
    <row r="80" spans="1:26" ht="15" customHeight="1" x14ac:dyDescent="0.2">
      <c r="A80" s="5" t="s">
        <v>85</v>
      </c>
      <c r="B80" s="6" t="s">
        <v>87</v>
      </c>
      <c r="C80" s="6" t="s">
        <v>75</v>
      </c>
      <c r="D80" s="7">
        <v>1.6</v>
      </c>
      <c r="E80" s="7">
        <v>1.5</v>
      </c>
      <c r="F80" s="7">
        <v>2</v>
      </c>
      <c r="G80" s="7">
        <v>2</v>
      </c>
      <c r="H80" s="7">
        <v>2</v>
      </c>
      <c r="I80" s="7">
        <v>1.5</v>
      </c>
      <c r="J80" s="7">
        <v>2.5</v>
      </c>
      <c r="K80" s="7">
        <f t="shared" si="24"/>
        <v>7.5</v>
      </c>
      <c r="L80" s="7">
        <f t="shared" si="25"/>
        <v>2</v>
      </c>
      <c r="M80" s="7">
        <f t="shared" si="26"/>
        <v>2</v>
      </c>
      <c r="N80" s="7">
        <f t="shared" si="27"/>
        <v>3</v>
      </c>
      <c r="O80" s="7">
        <f t="shared" si="28"/>
        <v>0.75</v>
      </c>
      <c r="P80" s="7">
        <f t="shared" si="29"/>
        <v>1.25</v>
      </c>
      <c r="Q80" s="8">
        <f t="shared" si="30"/>
        <v>16.5</v>
      </c>
      <c r="R80" s="9">
        <f t="shared" si="31"/>
        <v>26.400000000000002</v>
      </c>
      <c r="S80" s="10">
        <v>3</v>
      </c>
      <c r="T80" s="11">
        <v>0.81</v>
      </c>
      <c r="U80" s="12" t="str">
        <f t="shared" si="32"/>
        <v>G2-3</v>
      </c>
      <c r="V80" s="12">
        <f t="shared" si="33"/>
        <v>0</v>
      </c>
      <c r="W80" s="13" t="s">
        <v>42</v>
      </c>
      <c r="X80" s="14">
        <v>1.08</v>
      </c>
      <c r="Y80" s="15">
        <f t="shared" si="34"/>
        <v>28.512000000000004</v>
      </c>
      <c r="Z80" s="16">
        <f t="shared" si="35"/>
        <v>2.1120000000000019</v>
      </c>
    </row>
    <row r="81" spans="1:26" ht="15" customHeight="1" x14ac:dyDescent="0.2">
      <c r="A81" s="17" t="s">
        <v>85</v>
      </c>
      <c r="B81" s="18" t="s">
        <v>62</v>
      </c>
      <c r="C81" s="18" t="s">
        <v>61</v>
      </c>
      <c r="D81" s="13">
        <v>1.3</v>
      </c>
      <c r="E81" s="13">
        <v>1.5</v>
      </c>
      <c r="F81" s="13">
        <v>2</v>
      </c>
      <c r="G81" s="13">
        <v>2</v>
      </c>
      <c r="H81" s="13">
        <v>2</v>
      </c>
      <c r="I81" s="13">
        <v>1.5</v>
      </c>
      <c r="J81" s="13">
        <v>2.5</v>
      </c>
      <c r="K81" s="13">
        <f t="shared" si="24"/>
        <v>7.5</v>
      </c>
      <c r="L81" s="13">
        <f t="shared" si="25"/>
        <v>2</v>
      </c>
      <c r="M81" s="13">
        <f t="shared" si="26"/>
        <v>2</v>
      </c>
      <c r="N81" s="13">
        <f t="shared" si="27"/>
        <v>3</v>
      </c>
      <c r="O81" s="13">
        <f t="shared" si="28"/>
        <v>0.75</v>
      </c>
      <c r="P81" s="13">
        <f t="shared" si="29"/>
        <v>1.25</v>
      </c>
      <c r="Q81" s="19">
        <f t="shared" si="30"/>
        <v>16.5</v>
      </c>
      <c r="R81" s="15">
        <f t="shared" si="31"/>
        <v>21.45</v>
      </c>
      <c r="S81" s="10">
        <v>0</v>
      </c>
      <c r="T81" s="20">
        <v>0.38</v>
      </c>
      <c r="U81" s="21" t="str">
        <f t="shared" si="32"/>
        <v>G2</v>
      </c>
      <c r="V81" s="21">
        <f t="shared" si="33"/>
        <v>0</v>
      </c>
      <c r="W81" s="13" t="s">
        <v>42</v>
      </c>
      <c r="X81" s="14">
        <v>1.26</v>
      </c>
      <c r="Y81" s="15">
        <f t="shared" si="34"/>
        <v>27.027000000000001</v>
      </c>
      <c r="Z81" s="16">
        <f t="shared" si="35"/>
        <v>5.5770000000000017</v>
      </c>
    </row>
    <row r="82" spans="1:26" ht="15" customHeight="1" x14ac:dyDescent="0.2">
      <c r="A82" s="5" t="s">
        <v>85</v>
      </c>
      <c r="B82" s="6" t="s">
        <v>45</v>
      </c>
      <c r="C82" s="6" t="s">
        <v>36</v>
      </c>
      <c r="D82" s="7">
        <v>1</v>
      </c>
      <c r="E82" s="7">
        <v>1.5</v>
      </c>
      <c r="F82" s="7">
        <v>2</v>
      </c>
      <c r="G82" s="7">
        <v>2</v>
      </c>
      <c r="H82" s="7">
        <v>2</v>
      </c>
      <c r="I82" s="7">
        <v>1.5</v>
      </c>
      <c r="J82" s="7">
        <v>2.5</v>
      </c>
      <c r="K82" s="7">
        <f t="shared" si="24"/>
        <v>7.5</v>
      </c>
      <c r="L82" s="7">
        <f t="shared" si="25"/>
        <v>2</v>
      </c>
      <c r="M82" s="7">
        <f t="shared" si="26"/>
        <v>2</v>
      </c>
      <c r="N82" s="7">
        <f t="shared" si="27"/>
        <v>3</v>
      </c>
      <c r="O82" s="7">
        <f t="shared" si="28"/>
        <v>0.75</v>
      </c>
      <c r="P82" s="7">
        <f t="shared" si="29"/>
        <v>1.25</v>
      </c>
      <c r="Q82" s="8">
        <f t="shared" si="30"/>
        <v>16.5</v>
      </c>
      <c r="R82" s="9">
        <f t="shared" si="31"/>
        <v>16.5</v>
      </c>
      <c r="S82" s="10">
        <v>4</v>
      </c>
      <c r="T82" s="11">
        <v>0.56000000000000005</v>
      </c>
      <c r="U82" s="12" t="str">
        <f t="shared" si="32"/>
        <v>G1-2</v>
      </c>
      <c r="V82" s="12">
        <f t="shared" si="33"/>
        <v>0</v>
      </c>
      <c r="W82" s="13" t="s">
        <v>42</v>
      </c>
      <c r="X82" s="14">
        <v>0.7</v>
      </c>
      <c r="Y82" s="15">
        <f t="shared" si="34"/>
        <v>11.549999999999999</v>
      </c>
      <c r="Z82" s="16">
        <f t="shared" si="35"/>
        <v>-4.9500000000000011</v>
      </c>
    </row>
    <row r="83" spans="1:26" ht="15" customHeight="1" x14ac:dyDescent="0.2">
      <c r="A83" s="17" t="s">
        <v>85</v>
      </c>
      <c r="B83" s="18" t="s">
        <v>43</v>
      </c>
      <c r="C83" s="18" t="s">
        <v>44</v>
      </c>
      <c r="D83" s="13">
        <v>2</v>
      </c>
      <c r="E83" s="13">
        <v>1.5</v>
      </c>
      <c r="F83" s="13">
        <v>2</v>
      </c>
      <c r="G83" s="13">
        <v>2</v>
      </c>
      <c r="H83" s="13">
        <v>2</v>
      </c>
      <c r="I83" s="13">
        <v>1.5</v>
      </c>
      <c r="J83" s="13">
        <v>2.5</v>
      </c>
      <c r="K83" s="13">
        <f t="shared" si="24"/>
        <v>7.5</v>
      </c>
      <c r="L83" s="13">
        <f t="shared" si="25"/>
        <v>2</v>
      </c>
      <c r="M83" s="13">
        <f t="shared" si="26"/>
        <v>2</v>
      </c>
      <c r="N83" s="13">
        <f t="shared" si="27"/>
        <v>3</v>
      </c>
      <c r="O83" s="13">
        <f t="shared" si="28"/>
        <v>0.75</v>
      </c>
      <c r="P83" s="13">
        <f t="shared" si="29"/>
        <v>1.25</v>
      </c>
      <c r="Q83" s="19">
        <f t="shared" si="30"/>
        <v>16.5</v>
      </c>
      <c r="R83" s="15">
        <f t="shared" si="31"/>
        <v>33</v>
      </c>
      <c r="S83" s="10">
        <v>3</v>
      </c>
      <c r="T83" s="20">
        <v>0.4</v>
      </c>
      <c r="U83" s="21" t="str">
        <f t="shared" si="32"/>
        <v>G2-3</v>
      </c>
      <c r="V83" s="21">
        <f t="shared" si="33"/>
        <v>0</v>
      </c>
      <c r="W83" s="13" t="s">
        <v>42</v>
      </c>
      <c r="X83" s="14">
        <v>0.91</v>
      </c>
      <c r="Y83" s="15">
        <f t="shared" si="34"/>
        <v>30.03</v>
      </c>
      <c r="Z83" s="16">
        <f t="shared" si="35"/>
        <v>-2.9699999999999989</v>
      </c>
    </row>
    <row r="84" spans="1:26" ht="15" customHeight="1" x14ac:dyDescent="0.2">
      <c r="A84" s="5" t="s">
        <v>85</v>
      </c>
      <c r="B84" s="6" t="s">
        <v>37</v>
      </c>
      <c r="C84" s="6" t="s">
        <v>38</v>
      </c>
      <c r="D84" s="7">
        <v>1</v>
      </c>
      <c r="E84" s="7">
        <v>1.5</v>
      </c>
      <c r="F84" s="7">
        <v>2</v>
      </c>
      <c r="G84" s="7">
        <v>2</v>
      </c>
      <c r="H84" s="7">
        <v>2</v>
      </c>
      <c r="I84" s="7">
        <v>1.5</v>
      </c>
      <c r="J84" s="7">
        <v>2.5</v>
      </c>
      <c r="K84" s="7">
        <f t="shared" si="24"/>
        <v>7.5</v>
      </c>
      <c r="L84" s="7">
        <f t="shared" si="25"/>
        <v>2</v>
      </c>
      <c r="M84" s="7">
        <f t="shared" si="26"/>
        <v>2</v>
      </c>
      <c r="N84" s="7">
        <f t="shared" si="27"/>
        <v>3</v>
      </c>
      <c r="O84" s="7">
        <f t="shared" si="28"/>
        <v>0.75</v>
      </c>
      <c r="P84" s="7">
        <f t="shared" si="29"/>
        <v>1.25</v>
      </c>
      <c r="Q84" s="8">
        <f t="shared" si="30"/>
        <v>16.5</v>
      </c>
      <c r="R84" s="9">
        <f t="shared" si="31"/>
        <v>16.5</v>
      </c>
      <c r="S84" s="10">
        <v>2</v>
      </c>
      <c r="T84" s="11">
        <v>0.39</v>
      </c>
      <c r="U84" s="12" t="str">
        <f t="shared" si="32"/>
        <v>G1-2</v>
      </c>
      <c r="V84" s="12">
        <f t="shared" si="33"/>
        <v>0</v>
      </c>
      <c r="W84" s="13" t="s">
        <v>42</v>
      </c>
      <c r="X84" s="14">
        <v>0.62</v>
      </c>
      <c r="Y84" s="15">
        <f t="shared" si="34"/>
        <v>10.23</v>
      </c>
      <c r="Z84" s="16">
        <f t="shared" si="35"/>
        <v>-6.27</v>
      </c>
    </row>
    <row r="85" spans="1:26" ht="15" customHeight="1" x14ac:dyDescent="0.2">
      <c r="A85" s="17" t="s">
        <v>85</v>
      </c>
      <c r="B85" s="18" t="s">
        <v>88</v>
      </c>
      <c r="C85" s="18" t="s">
        <v>40</v>
      </c>
      <c r="D85" s="13">
        <v>1.8</v>
      </c>
      <c r="E85" s="13">
        <v>1.5</v>
      </c>
      <c r="F85" s="13">
        <v>2</v>
      </c>
      <c r="G85" s="13">
        <v>2</v>
      </c>
      <c r="H85" s="13">
        <v>2</v>
      </c>
      <c r="I85" s="13">
        <v>1.5</v>
      </c>
      <c r="J85" s="13">
        <v>2.5</v>
      </c>
      <c r="K85" s="13">
        <f t="shared" si="24"/>
        <v>7.5</v>
      </c>
      <c r="L85" s="13">
        <f t="shared" si="25"/>
        <v>2</v>
      </c>
      <c r="M85" s="13">
        <f t="shared" si="26"/>
        <v>2</v>
      </c>
      <c r="N85" s="13">
        <f t="shared" si="27"/>
        <v>3</v>
      </c>
      <c r="O85" s="13">
        <f t="shared" si="28"/>
        <v>0.75</v>
      </c>
      <c r="P85" s="13">
        <f t="shared" si="29"/>
        <v>1.25</v>
      </c>
      <c r="Q85" s="19">
        <f t="shared" si="30"/>
        <v>16.5</v>
      </c>
      <c r="R85" s="15">
        <f t="shared" si="31"/>
        <v>29.7</v>
      </c>
      <c r="S85" s="10">
        <v>2</v>
      </c>
      <c r="T85" s="20">
        <v>0.6</v>
      </c>
      <c r="U85" s="21" t="str">
        <f t="shared" si="32"/>
        <v>G2-3</v>
      </c>
      <c r="V85" s="21">
        <f t="shared" si="33"/>
        <v>0</v>
      </c>
      <c r="W85" s="13" t="s">
        <v>42</v>
      </c>
      <c r="X85" s="14">
        <v>1.2</v>
      </c>
      <c r="Y85" s="15">
        <f t="shared" si="34"/>
        <v>35.64</v>
      </c>
      <c r="Z85" s="16">
        <f t="shared" si="35"/>
        <v>5.9400000000000013</v>
      </c>
    </row>
    <row r="86" spans="1:26" ht="15" customHeight="1" x14ac:dyDescent="0.2">
      <c r="A86" s="5" t="s">
        <v>85</v>
      </c>
      <c r="B86" s="6" t="s">
        <v>46</v>
      </c>
      <c r="C86" s="6" t="s">
        <v>38</v>
      </c>
      <c r="D86" s="7">
        <v>1</v>
      </c>
      <c r="E86" s="7">
        <v>1.5</v>
      </c>
      <c r="F86" s="7">
        <v>2</v>
      </c>
      <c r="G86" s="7">
        <v>2</v>
      </c>
      <c r="H86" s="7">
        <v>2</v>
      </c>
      <c r="I86" s="7">
        <v>1.5</v>
      </c>
      <c r="J86" s="7">
        <v>2.5</v>
      </c>
      <c r="K86" s="7">
        <f t="shared" si="24"/>
        <v>7.5</v>
      </c>
      <c r="L86" s="7">
        <f t="shared" si="25"/>
        <v>2</v>
      </c>
      <c r="M86" s="7">
        <f t="shared" si="26"/>
        <v>2</v>
      </c>
      <c r="N86" s="7">
        <f t="shared" si="27"/>
        <v>3</v>
      </c>
      <c r="O86" s="7">
        <f t="shared" si="28"/>
        <v>0.75</v>
      </c>
      <c r="P86" s="7">
        <f t="shared" si="29"/>
        <v>1.25</v>
      </c>
      <c r="Q86" s="8">
        <f t="shared" si="30"/>
        <v>16.5</v>
      </c>
      <c r="R86" s="9">
        <f t="shared" si="31"/>
        <v>16.5</v>
      </c>
      <c r="S86" s="10">
        <v>2</v>
      </c>
      <c r="T86" s="11">
        <v>0.37</v>
      </c>
      <c r="U86" s="12" t="str">
        <f t="shared" si="32"/>
        <v>G1-2</v>
      </c>
      <c r="V86" s="12">
        <f t="shared" si="33"/>
        <v>0</v>
      </c>
      <c r="W86" s="13" t="s">
        <v>42</v>
      </c>
      <c r="X86" s="14">
        <v>0.62</v>
      </c>
      <c r="Y86" s="15">
        <f t="shared" si="34"/>
        <v>10.23</v>
      </c>
      <c r="Z86" s="16">
        <f t="shared" si="35"/>
        <v>-6.27</v>
      </c>
    </row>
    <row r="87" spans="1:26" ht="15" customHeight="1" x14ac:dyDescent="0.2">
      <c r="A87" s="17" t="s">
        <v>89</v>
      </c>
      <c r="B87" s="18" t="s">
        <v>77</v>
      </c>
      <c r="C87" s="18" t="s">
        <v>75</v>
      </c>
      <c r="D87" s="13">
        <v>1.6</v>
      </c>
      <c r="E87" s="13">
        <v>1.5</v>
      </c>
      <c r="F87" s="13">
        <v>1.5</v>
      </c>
      <c r="G87" s="13">
        <v>1.5</v>
      </c>
      <c r="H87" s="13">
        <v>1</v>
      </c>
      <c r="I87" s="13">
        <v>1.5</v>
      </c>
      <c r="J87" s="13">
        <v>1.5</v>
      </c>
      <c r="K87" s="13">
        <f t="shared" si="24"/>
        <v>7.5</v>
      </c>
      <c r="L87" s="13">
        <f t="shared" si="25"/>
        <v>1.5</v>
      </c>
      <c r="M87" s="13">
        <f t="shared" si="26"/>
        <v>1.5</v>
      </c>
      <c r="N87" s="13">
        <f t="shared" si="27"/>
        <v>1.5</v>
      </c>
      <c r="O87" s="13">
        <f t="shared" si="28"/>
        <v>0.75</v>
      </c>
      <c r="P87" s="13">
        <f t="shared" si="29"/>
        <v>0.75</v>
      </c>
      <c r="Q87" s="19">
        <f t="shared" si="30"/>
        <v>13.5</v>
      </c>
      <c r="R87" s="15">
        <f t="shared" si="31"/>
        <v>21.6</v>
      </c>
      <c r="S87" s="10">
        <v>6</v>
      </c>
      <c r="T87" s="20">
        <v>0.68</v>
      </c>
      <c r="U87" s="21" t="str">
        <f t="shared" si="32"/>
        <v>G2</v>
      </c>
      <c r="V87" s="21">
        <f t="shared" si="33"/>
        <v>0</v>
      </c>
      <c r="W87" s="13" t="s">
        <v>90</v>
      </c>
      <c r="X87" s="14">
        <v>0.83</v>
      </c>
      <c r="Y87" s="15">
        <f t="shared" si="34"/>
        <v>17.928000000000001</v>
      </c>
      <c r="Z87" s="16">
        <f t="shared" si="35"/>
        <v>-3.6720000000000006</v>
      </c>
    </row>
    <row r="88" spans="1:26" ht="15" customHeight="1" x14ac:dyDescent="0.2">
      <c r="A88" s="5" t="s">
        <v>89</v>
      </c>
      <c r="B88" s="6" t="s">
        <v>74</v>
      </c>
      <c r="C88" s="6" t="s">
        <v>75</v>
      </c>
      <c r="D88" s="7">
        <v>1.6</v>
      </c>
      <c r="E88" s="7">
        <v>1.5</v>
      </c>
      <c r="F88" s="7">
        <v>1.5</v>
      </c>
      <c r="G88" s="7">
        <v>1.5</v>
      </c>
      <c r="H88" s="7">
        <v>1</v>
      </c>
      <c r="I88" s="7">
        <v>1.5</v>
      </c>
      <c r="J88" s="7">
        <v>1.5</v>
      </c>
      <c r="K88" s="7">
        <f t="shared" si="24"/>
        <v>7.5</v>
      </c>
      <c r="L88" s="7">
        <f t="shared" si="25"/>
        <v>1.5</v>
      </c>
      <c r="M88" s="7">
        <f t="shared" si="26"/>
        <v>1.5</v>
      </c>
      <c r="N88" s="7">
        <f t="shared" si="27"/>
        <v>1.5</v>
      </c>
      <c r="O88" s="7">
        <f t="shared" si="28"/>
        <v>0.75</v>
      </c>
      <c r="P88" s="7">
        <f t="shared" si="29"/>
        <v>0.75</v>
      </c>
      <c r="Q88" s="8">
        <f t="shared" si="30"/>
        <v>13.5</v>
      </c>
      <c r="R88" s="9">
        <f t="shared" si="31"/>
        <v>21.6</v>
      </c>
      <c r="S88" s="10">
        <v>8</v>
      </c>
      <c r="T88" s="11">
        <v>0.56000000000000005</v>
      </c>
      <c r="U88" s="12" t="str">
        <f t="shared" si="32"/>
        <v>G2</v>
      </c>
      <c r="V88" s="12">
        <f t="shared" si="33"/>
        <v>0</v>
      </c>
      <c r="W88" s="13" t="s">
        <v>90</v>
      </c>
      <c r="X88" s="14">
        <v>0.83</v>
      </c>
      <c r="Y88" s="15">
        <f t="shared" si="34"/>
        <v>17.928000000000001</v>
      </c>
      <c r="Z88" s="16">
        <f t="shared" si="35"/>
        <v>-3.6720000000000006</v>
      </c>
    </row>
    <row r="89" spans="1:26" ht="15" customHeight="1" x14ac:dyDescent="0.2">
      <c r="A89" s="17" t="s">
        <v>89</v>
      </c>
      <c r="B89" s="18" t="s">
        <v>37</v>
      </c>
      <c r="C89" s="18" t="s">
        <v>38</v>
      </c>
      <c r="D89" s="13">
        <v>1</v>
      </c>
      <c r="E89" s="13">
        <v>1.5</v>
      </c>
      <c r="F89" s="13">
        <v>1.5</v>
      </c>
      <c r="G89" s="13">
        <v>1.5</v>
      </c>
      <c r="H89" s="13">
        <v>1</v>
      </c>
      <c r="I89" s="13">
        <v>1.5</v>
      </c>
      <c r="J89" s="13">
        <v>1.5</v>
      </c>
      <c r="K89" s="13">
        <f t="shared" si="24"/>
        <v>7.5</v>
      </c>
      <c r="L89" s="13">
        <f t="shared" si="25"/>
        <v>1.5</v>
      </c>
      <c r="M89" s="13">
        <f t="shared" si="26"/>
        <v>1.5</v>
      </c>
      <c r="N89" s="13">
        <f t="shared" si="27"/>
        <v>1.5</v>
      </c>
      <c r="O89" s="13">
        <f t="shared" si="28"/>
        <v>0.75</v>
      </c>
      <c r="P89" s="13">
        <f t="shared" si="29"/>
        <v>0.75</v>
      </c>
      <c r="Q89" s="19">
        <f t="shared" si="30"/>
        <v>13.5</v>
      </c>
      <c r="R89" s="15">
        <f t="shared" si="31"/>
        <v>13.5</v>
      </c>
      <c r="S89" s="10">
        <v>2</v>
      </c>
      <c r="T89" s="20">
        <v>0.5</v>
      </c>
      <c r="U89" s="21" t="str">
        <f t="shared" si="32"/>
        <v>G1-2</v>
      </c>
      <c r="V89" s="21">
        <f t="shared" si="33"/>
        <v>0</v>
      </c>
      <c r="W89" s="13" t="s">
        <v>90</v>
      </c>
      <c r="X89" s="14">
        <v>0.67</v>
      </c>
      <c r="Y89" s="15">
        <f t="shared" si="34"/>
        <v>9.0449999999999999</v>
      </c>
      <c r="Z89" s="16">
        <f t="shared" si="35"/>
        <v>-4.4550000000000001</v>
      </c>
    </row>
    <row r="90" spans="1:26" ht="15" customHeight="1" x14ac:dyDescent="0.2">
      <c r="A90" s="5" t="s">
        <v>89</v>
      </c>
      <c r="B90" s="6" t="s">
        <v>43</v>
      </c>
      <c r="C90" s="6" t="s">
        <v>44</v>
      </c>
      <c r="D90" s="7">
        <v>2</v>
      </c>
      <c r="E90" s="7">
        <v>1.5</v>
      </c>
      <c r="F90" s="7">
        <v>1.5</v>
      </c>
      <c r="G90" s="7">
        <v>1.5</v>
      </c>
      <c r="H90" s="7">
        <v>1</v>
      </c>
      <c r="I90" s="7">
        <v>1.5</v>
      </c>
      <c r="J90" s="7">
        <v>1.5</v>
      </c>
      <c r="K90" s="7">
        <f t="shared" si="24"/>
        <v>7.5</v>
      </c>
      <c r="L90" s="7">
        <f t="shared" si="25"/>
        <v>1.5</v>
      </c>
      <c r="M90" s="7">
        <f t="shared" si="26"/>
        <v>1.5</v>
      </c>
      <c r="N90" s="7">
        <f t="shared" si="27"/>
        <v>1.5</v>
      </c>
      <c r="O90" s="7">
        <f t="shared" si="28"/>
        <v>0.75</v>
      </c>
      <c r="P90" s="7">
        <f t="shared" si="29"/>
        <v>0.75</v>
      </c>
      <c r="Q90" s="8">
        <f t="shared" si="30"/>
        <v>13.5</v>
      </c>
      <c r="R90" s="9">
        <f t="shared" si="31"/>
        <v>27</v>
      </c>
      <c r="S90" s="10">
        <v>2</v>
      </c>
      <c r="T90" s="11">
        <v>0.35</v>
      </c>
      <c r="U90" s="12" t="str">
        <f t="shared" si="32"/>
        <v>G2-3</v>
      </c>
      <c r="V90" s="12">
        <f t="shared" si="33"/>
        <v>0</v>
      </c>
      <c r="W90" s="13" t="s">
        <v>90</v>
      </c>
      <c r="X90" s="14">
        <v>0.47</v>
      </c>
      <c r="Y90" s="15">
        <f t="shared" si="34"/>
        <v>12.69</v>
      </c>
      <c r="Z90" s="16">
        <f t="shared" si="35"/>
        <v>-14.31</v>
      </c>
    </row>
    <row r="91" spans="1:26" ht="15" customHeight="1" x14ac:dyDescent="0.2">
      <c r="A91" s="17" t="s">
        <v>89</v>
      </c>
      <c r="B91" s="18" t="s">
        <v>45</v>
      </c>
      <c r="C91" s="18" t="s">
        <v>36</v>
      </c>
      <c r="D91" s="13">
        <v>1</v>
      </c>
      <c r="E91" s="13">
        <v>1.5</v>
      </c>
      <c r="F91" s="13">
        <v>1.5</v>
      </c>
      <c r="G91" s="13">
        <v>1.5</v>
      </c>
      <c r="H91" s="13">
        <v>1</v>
      </c>
      <c r="I91" s="13">
        <v>1.5</v>
      </c>
      <c r="J91" s="13">
        <v>1.5</v>
      </c>
      <c r="K91" s="13">
        <f t="shared" si="24"/>
        <v>7.5</v>
      </c>
      <c r="L91" s="13">
        <f t="shared" si="25"/>
        <v>1.5</v>
      </c>
      <c r="M91" s="13">
        <f t="shared" si="26"/>
        <v>1.5</v>
      </c>
      <c r="N91" s="13">
        <f t="shared" si="27"/>
        <v>1.5</v>
      </c>
      <c r="O91" s="13">
        <f t="shared" si="28"/>
        <v>0.75</v>
      </c>
      <c r="P91" s="13">
        <f t="shared" si="29"/>
        <v>0.75</v>
      </c>
      <c r="Q91" s="19">
        <f t="shared" si="30"/>
        <v>13.5</v>
      </c>
      <c r="R91" s="15">
        <f t="shared" si="31"/>
        <v>13.5</v>
      </c>
      <c r="S91" s="10">
        <v>2</v>
      </c>
      <c r="T91" s="20">
        <v>0.42</v>
      </c>
      <c r="U91" s="21" t="str">
        <f t="shared" si="32"/>
        <v>G1-2</v>
      </c>
      <c r="V91" s="21">
        <f t="shared" si="33"/>
        <v>0</v>
      </c>
      <c r="W91" s="13" t="s">
        <v>90</v>
      </c>
      <c r="X91" s="14">
        <v>0.56000000000000005</v>
      </c>
      <c r="Y91" s="15">
        <f t="shared" si="34"/>
        <v>7.5600000000000005</v>
      </c>
      <c r="Z91" s="16">
        <f t="shared" si="35"/>
        <v>-5.9399999999999995</v>
      </c>
    </row>
    <row r="92" spans="1:26" ht="15" customHeight="1" x14ac:dyDescent="0.2">
      <c r="A92" s="5" t="s">
        <v>89</v>
      </c>
      <c r="B92" s="6" t="s">
        <v>46</v>
      </c>
      <c r="C92" s="6" t="s">
        <v>38</v>
      </c>
      <c r="D92" s="7">
        <v>1</v>
      </c>
      <c r="E92" s="7">
        <v>1.5</v>
      </c>
      <c r="F92" s="7">
        <v>1.5</v>
      </c>
      <c r="G92" s="7">
        <v>1.5</v>
      </c>
      <c r="H92" s="7">
        <v>1</v>
      </c>
      <c r="I92" s="7">
        <v>1.5</v>
      </c>
      <c r="J92" s="7">
        <v>1.5</v>
      </c>
      <c r="K92" s="7">
        <f t="shared" si="24"/>
        <v>7.5</v>
      </c>
      <c r="L92" s="7">
        <f t="shared" si="25"/>
        <v>1.5</v>
      </c>
      <c r="M92" s="7">
        <f t="shared" si="26"/>
        <v>1.5</v>
      </c>
      <c r="N92" s="7">
        <f t="shared" si="27"/>
        <v>1.5</v>
      </c>
      <c r="O92" s="7">
        <f t="shared" si="28"/>
        <v>0.75</v>
      </c>
      <c r="P92" s="7">
        <f t="shared" si="29"/>
        <v>0.75</v>
      </c>
      <c r="Q92" s="8">
        <f t="shared" si="30"/>
        <v>13.5</v>
      </c>
      <c r="R92" s="9">
        <f t="shared" si="31"/>
        <v>13.5</v>
      </c>
      <c r="S92" s="10">
        <v>2</v>
      </c>
      <c r="T92" s="11">
        <v>0.34</v>
      </c>
      <c r="U92" s="12" t="str">
        <f t="shared" si="32"/>
        <v>G1-2</v>
      </c>
      <c r="V92" s="12">
        <f t="shared" si="33"/>
        <v>0</v>
      </c>
      <c r="W92" s="13" t="s">
        <v>90</v>
      </c>
      <c r="X92" s="14">
        <v>0.67</v>
      </c>
      <c r="Y92" s="15">
        <f t="shared" si="34"/>
        <v>9.0449999999999999</v>
      </c>
      <c r="Z92" s="16">
        <f t="shared" si="35"/>
        <v>-4.4550000000000001</v>
      </c>
    </row>
    <row r="93" spans="1:26" ht="15" customHeight="1" x14ac:dyDescent="0.2">
      <c r="A93" s="17" t="s">
        <v>89</v>
      </c>
      <c r="B93" s="18" t="s">
        <v>78</v>
      </c>
      <c r="C93" s="18" t="s">
        <v>75</v>
      </c>
      <c r="D93" s="13">
        <v>1.6</v>
      </c>
      <c r="E93" s="13">
        <v>1.5</v>
      </c>
      <c r="F93" s="13">
        <v>1.5</v>
      </c>
      <c r="G93" s="13">
        <v>1.5</v>
      </c>
      <c r="H93" s="13">
        <v>1</v>
      </c>
      <c r="I93" s="13">
        <v>1.5</v>
      </c>
      <c r="J93" s="13">
        <v>1.5</v>
      </c>
      <c r="K93" s="13">
        <f t="shared" si="24"/>
        <v>7.5</v>
      </c>
      <c r="L93" s="13">
        <f t="shared" si="25"/>
        <v>1.5</v>
      </c>
      <c r="M93" s="13">
        <f t="shared" si="26"/>
        <v>1.5</v>
      </c>
      <c r="N93" s="13">
        <f t="shared" si="27"/>
        <v>1.5</v>
      </c>
      <c r="O93" s="13">
        <f t="shared" si="28"/>
        <v>0.75</v>
      </c>
      <c r="P93" s="13">
        <f t="shared" si="29"/>
        <v>0.75</v>
      </c>
      <c r="Q93" s="19">
        <f t="shared" si="30"/>
        <v>13.5</v>
      </c>
      <c r="R93" s="15">
        <f t="shared" si="31"/>
        <v>21.6</v>
      </c>
      <c r="S93" s="10">
        <v>1</v>
      </c>
      <c r="T93" s="20">
        <v>0.27</v>
      </c>
      <c r="U93" s="21" t="str">
        <f t="shared" si="32"/>
        <v>G2</v>
      </c>
      <c r="V93" s="21">
        <f t="shared" si="33"/>
        <v>0</v>
      </c>
      <c r="W93" s="13" t="s">
        <v>90</v>
      </c>
      <c r="X93" s="14">
        <v>0.83</v>
      </c>
      <c r="Y93" s="15">
        <f t="shared" si="34"/>
        <v>17.928000000000001</v>
      </c>
      <c r="Z93" s="16">
        <f t="shared" si="35"/>
        <v>-3.6720000000000006</v>
      </c>
    </row>
    <row r="94" spans="1:26" ht="15" customHeight="1" x14ac:dyDescent="0.2">
      <c r="A94" s="5" t="s">
        <v>91</v>
      </c>
      <c r="B94" s="6" t="s">
        <v>92</v>
      </c>
      <c r="C94" s="6" t="s">
        <v>38</v>
      </c>
      <c r="D94" s="7">
        <v>1</v>
      </c>
      <c r="E94" s="7">
        <v>1</v>
      </c>
      <c r="F94" s="7">
        <v>1.5</v>
      </c>
      <c r="G94" s="7">
        <v>0.5</v>
      </c>
      <c r="H94" s="7">
        <v>1</v>
      </c>
      <c r="I94" s="7">
        <v>1</v>
      </c>
      <c r="J94" s="7">
        <v>1</v>
      </c>
      <c r="K94" s="7">
        <f t="shared" si="24"/>
        <v>5</v>
      </c>
      <c r="L94" s="7">
        <f t="shared" si="25"/>
        <v>1.5</v>
      </c>
      <c r="M94" s="7">
        <f t="shared" si="26"/>
        <v>0.5</v>
      </c>
      <c r="N94" s="7">
        <f t="shared" si="27"/>
        <v>1.5</v>
      </c>
      <c r="O94" s="7">
        <f t="shared" si="28"/>
        <v>0.5</v>
      </c>
      <c r="P94" s="7">
        <f t="shared" si="29"/>
        <v>0.5</v>
      </c>
      <c r="Q94" s="8">
        <f t="shared" si="30"/>
        <v>9.5</v>
      </c>
      <c r="R94" s="9">
        <f t="shared" si="31"/>
        <v>9.5</v>
      </c>
      <c r="S94" s="10">
        <v>8</v>
      </c>
      <c r="T94" s="11">
        <v>0.91</v>
      </c>
      <c r="U94" s="12" t="str">
        <f t="shared" si="32"/>
        <v>G1</v>
      </c>
      <c r="V94" s="12">
        <f t="shared" si="33"/>
        <v>0</v>
      </c>
      <c r="W94" s="13" t="s">
        <v>67</v>
      </c>
      <c r="X94" s="14">
        <v>1.05</v>
      </c>
      <c r="Y94" s="15">
        <f t="shared" si="34"/>
        <v>9.9749999999999996</v>
      </c>
      <c r="Z94" s="16">
        <f t="shared" si="35"/>
        <v>0.47499999999999964</v>
      </c>
    </row>
    <row r="95" spans="1:26" ht="15" customHeight="1" x14ac:dyDescent="0.2">
      <c r="A95" s="17" t="s">
        <v>91</v>
      </c>
      <c r="B95" s="18" t="s">
        <v>37</v>
      </c>
      <c r="C95" s="18" t="s">
        <v>38</v>
      </c>
      <c r="D95" s="13">
        <v>1</v>
      </c>
      <c r="E95" s="13">
        <v>1</v>
      </c>
      <c r="F95" s="13">
        <v>1.5</v>
      </c>
      <c r="G95" s="13">
        <v>0.5</v>
      </c>
      <c r="H95" s="13">
        <v>1</v>
      </c>
      <c r="I95" s="13">
        <v>1</v>
      </c>
      <c r="J95" s="13">
        <v>1</v>
      </c>
      <c r="K95" s="13">
        <f t="shared" si="24"/>
        <v>5</v>
      </c>
      <c r="L95" s="13">
        <f t="shared" si="25"/>
        <v>1.5</v>
      </c>
      <c r="M95" s="13">
        <f t="shared" si="26"/>
        <v>0.5</v>
      </c>
      <c r="N95" s="13">
        <f t="shared" si="27"/>
        <v>1.5</v>
      </c>
      <c r="O95" s="13">
        <f t="shared" si="28"/>
        <v>0.5</v>
      </c>
      <c r="P95" s="13">
        <f t="shared" si="29"/>
        <v>0.5</v>
      </c>
      <c r="Q95" s="19">
        <f t="shared" si="30"/>
        <v>9.5</v>
      </c>
      <c r="R95" s="15">
        <f t="shared" si="31"/>
        <v>9.5</v>
      </c>
      <c r="S95" s="10">
        <v>3</v>
      </c>
      <c r="T95" s="20">
        <v>0.73</v>
      </c>
      <c r="U95" s="21" t="str">
        <f t="shared" si="32"/>
        <v>G1</v>
      </c>
      <c r="V95" s="21">
        <f t="shared" si="33"/>
        <v>0</v>
      </c>
      <c r="W95" s="13" t="s">
        <v>67</v>
      </c>
      <c r="X95" s="14">
        <v>1.05</v>
      </c>
      <c r="Y95" s="15">
        <f t="shared" si="34"/>
        <v>9.9749999999999996</v>
      </c>
      <c r="Z95" s="16">
        <f t="shared" si="35"/>
        <v>0.47499999999999964</v>
      </c>
    </row>
    <row r="96" spans="1:26" ht="15" customHeight="1" x14ac:dyDescent="0.2">
      <c r="A96" s="5" t="s">
        <v>91</v>
      </c>
      <c r="B96" s="6" t="s">
        <v>45</v>
      </c>
      <c r="C96" s="6" t="s">
        <v>36</v>
      </c>
      <c r="D96" s="7">
        <v>1</v>
      </c>
      <c r="E96" s="7">
        <v>1</v>
      </c>
      <c r="F96" s="7">
        <v>1.5</v>
      </c>
      <c r="G96" s="7">
        <v>0.5</v>
      </c>
      <c r="H96" s="7">
        <v>1</v>
      </c>
      <c r="I96" s="7">
        <v>1</v>
      </c>
      <c r="J96" s="7">
        <v>1</v>
      </c>
      <c r="K96" s="7">
        <f t="shared" si="24"/>
        <v>5</v>
      </c>
      <c r="L96" s="7">
        <f t="shared" si="25"/>
        <v>1.5</v>
      </c>
      <c r="M96" s="7">
        <f t="shared" si="26"/>
        <v>0.5</v>
      </c>
      <c r="N96" s="7">
        <f t="shared" si="27"/>
        <v>1.5</v>
      </c>
      <c r="O96" s="7">
        <f t="shared" si="28"/>
        <v>0.5</v>
      </c>
      <c r="P96" s="7">
        <f t="shared" si="29"/>
        <v>0.5</v>
      </c>
      <c r="Q96" s="8">
        <f t="shared" si="30"/>
        <v>9.5</v>
      </c>
      <c r="R96" s="9">
        <f t="shared" si="31"/>
        <v>9.5</v>
      </c>
      <c r="S96" s="10">
        <v>4</v>
      </c>
      <c r="T96" s="11">
        <v>0.5</v>
      </c>
      <c r="U96" s="12" t="str">
        <f t="shared" si="32"/>
        <v>G1</v>
      </c>
      <c r="V96" s="12">
        <f t="shared" si="33"/>
        <v>0</v>
      </c>
      <c r="W96" s="13" t="s">
        <v>67</v>
      </c>
      <c r="X96" s="14">
        <v>0.67</v>
      </c>
      <c r="Y96" s="15">
        <f t="shared" si="34"/>
        <v>6.3650000000000002</v>
      </c>
      <c r="Z96" s="16">
        <f t="shared" si="35"/>
        <v>-3.1349999999999998</v>
      </c>
    </row>
    <row r="97" spans="1:26" ht="15" customHeight="1" x14ac:dyDescent="0.2">
      <c r="A97" s="17" t="s">
        <v>91</v>
      </c>
      <c r="B97" s="18" t="s">
        <v>62</v>
      </c>
      <c r="C97" s="18" t="s">
        <v>61</v>
      </c>
      <c r="D97" s="13">
        <v>1.3</v>
      </c>
      <c r="E97" s="13">
        <v>1</v>
      </c>
      <c r="F97" s="13">
        <v>1.5</v>
      </c>
      <c r="G97" s="13">
        <v>0.5</v>
      </c>
      <c r="H97" s="13">
        <v>1</v>
      </c>
      <c r="I97" s="13">
        <v>1</v>
      </c>
      <c r="J97" s="13">
        <v>1</v>
      </c>
      <c r="K97" s="13">
        <f t="shared" si="24"/>
        <v>5</v>
      </c>
      <c r="L97" s="13">
        <f t="shared" si="25"/>
        <v>1.5</v>
      </c>
      <c r="M97" s="13">
        <f t="shared" si="26"/>
        <v>0.5</v>
      </c>
      <c r="N97" s="13">
        <f t="shared" si="27"/>
        <v>1.5</v>
      </c>
      <c r="O97" s="13">
        <f t="shared" si="28"/>
        <v>0.5</v>
      </c>
      <c r="P97" s="13">
        <f t="shared" si="29"/>
        <v>0.5</v>
      </c>
      <c r="Q97" s="19">
        <f t="shared" si="30"/>
        <v>9.5</v>
      </c>
      <c r="R97" s="15">
        <f t="shared" si="31"/>
        <v>12.35</v>
      </c>
      <c r="S97" s="10">
        <v>0</v>
      </c>
      <c r="T97" s="20">
        <v>0.37</v>
      </c>
      <c r="U97" s="21" t="str">
        <f t="shared" si="32"/>
        <v>G1-2</v>
      </c>
      <c r="V97" s="21">
        <f t="shared" si="33"/>
        <v>0</v>
      </c>
      <c r="W97" s="13" t="s">
        <v>67</v>
      </c>
      <c r="X97" s="14">
        <v>1</v>
      </c>
      <c r="Y97" s="15">
        <f t="shared" si="34"/>
        <v>12.35</v>
      </c>
      <c r="Z97" s="16">
        <f t="shared" si="35"/>
        <v>0</v>
      </c>
    </row>
    <row r="98" spans="1:26" ht="15" customHeight="1" x14ac:dyDescent="0.2">
      <c r="A98" s="5" t="s">
        <v>91</v>
      </c>
      <c r="B98" s="6" t="s">
        <v>30</v>
      </c>
      <c r="C98" s="6" t="s">
        <v>28</v>
      </c>
      <c r="D98" s="7">
        <v>1.8</v>
      </c>
      <c r="E98" s="7">
        <v>1</v>
      </c>
      <c r="F98" s="7">
        <v>1.5</v>
      </c>
      <c r="G98" s="7">
        <v>0.5</v>
      </c>
      <c r="H98" s="7">
        <v>1</v>
      </c>
      <c r="I98" s="7">
        <v>1</v>
      </c>
      <c r="J98" s="7">
        <v>1</v>
      </c>
      <c r="K98" s="7">
        <f t="shared" ref="K98:K107" si="36">5*E98</f>
        <v>5</v>
      </c>
      <c r="L98" s="7">
        <f t="shared" ref="L98:L107" si="37">1*F98</f>
        <v>1.5</v>
      </c>
      <c r="M98" s="7">
        <f t="shared" ref="M98:M107" si="38">1*G98</f>
        <v>0.5</v>
      </c>
      <c r="N98" s="7">
        <f t="shared" ref="N98:N107" si="39">1.5*H98</f>
        <v>1.5</v>
      </c>
      <c r="O98" s="7">
        <f t="shared" ref="O98:O107" si="40">0.5*I98</f>
        <v>0.5</v>
      </c>
      <c r="P98" s="7">
        <f t="shared" ref="P98:P107" si="41">0.5*J98</f>
        <v>0.5</v>
      </c>
      <c r="Q98" s="8">
        <f t="shared" ref="Q98:Q129" si="42">SUM(K98:P98)</f>
        <v>9.5</v>
      </c>
      <c r="R98" s="9">
        <f t="shared" ref="R98:R129" si="43">Q98*D98</f>
        <v>17.100000000000001</v>
      </c>
      <c r="S98" s="10">
        <v>4</v>
      </c>
      <c r="T98" s="11">
        <v>0.37</v>
      </c>
      <c r="U98" s="12" t="str">
        <f t="shared" ref="U98:U107" si="44">IF(R98&lt;12,"G1",IF(R98&lt;18,"G1-2",IF(R98&lt;25,"G2",IF(R98&lt;35,"G2-3",IF(R98&lt;45,"G3","G3-4")))))</f>
        <v>G1-2</v>
      </c>
      <c r="V98" s="12">
        <f t="shared" ref="V98:V107" si="45">IF(S98&gt;=10,1,0)</f>
        <v>0</v>
      </c>
      <c r="W98" s="13" t="s">
        <v>67</v>
      </c>
      <c r="X98" s="14">
        <v>0.95</v>
      </c>
      <c r="Y98" s="15">
        <f t="shared" ref="Y98:Y129" si="46">Q98*D98*X98</f>
        <v>16.245000000000001</v>
      </c>
      <c r="Z98" s="16">
        <f t="shared" ref="Z98:Z129" si="47">Y98-R98</f>
        <v>-0.85500000000000043</v>
      </c>
    </row>
    <row r="99" spans="1:26" ht="15" customHeight="1" x14ac:dyDescent="0.2">
      <c r="A99" s="17" t="s">
        <v>91</v>
      </c>
      <c r="B99" s="18" t="s">
        <v>93</v>
      </c>
      <c r="C99" s="18" t="s">
        <v>49</v>
      </c>
      <c r="D99" s="13">
        <v>1.5</v>
      </c>
      <c r="E99" s="13">
        <v>1</v>
      </c>
      <c r="F99" s="13">
        <v>1.5</v>
      </c>
      <c r="G99" s="13">
        <v>0.5</v>
      </c>
      <c r="H99" s="13">
        <v>1</v>
      </c>
      <c r="I99" s="13">
        <v>1</v>
      </c>
      <c r="J99" s="13">
        <v>1</v>
      </c>
      <c r="K99" s="13">
        <f t="shared" si="36"/>
        <v>5</v>
      </c>
      <c r="L99" s="13">
        <f t="shared" si="37"/>
        <v>1.5</v>
      </c>
      <c r="M99" s="13">
        <f t="shared" si="38"/>
        <v>0.5</v>
      </c>
      <c r="N99" s="13">
        <f t="shared" si="39"/>
        <v>1.5</v>
      </c>
      <c r="O99" s="13">
        <f t="shared" si="40"/>
        <v>0.5</v>
      </c>
      <c r="P99" s="13">
        <f t="shared" si="41"/>
        <v>0.5</v>
      </c>
      <c r="Q99" s="19">
        <f t="shared" si="42"/>
        <v>9.5</v>
      </c>
      <c r="R99" s="15">
        <f t="shared" si="43"/>
        <v>14.25</v>
      </c>
      <c r="S99" s="10">
        <v>2.9</v>
      </c>
      <c r="T99" s="20">
        <v>0.17699999999999999</v>
      </c>
      <c r="U99" s="21" t="str">
        <f t="shared" si="44"/>
        <v>G1-2</v>
      </c>
      <c r="V99" s="21">
        <f t="shared" si="45"/>
        <v>0</v>
      </c>
      <c r="W99" s="13" t="s">
        <v>67</v>
      </c>
      <c r="X99" s="14">
        <v>0.31</v>
      </c>
      <c r="Y99" s="15">
        <f t="shared" si="46"/>
        <v>4.4174999999999995</v>
      </c>
      <c r="Z99" s="16">
        <f t="shared" si="47"/>
        <v>-9.8324999999999996</v>
      </c>
    </row>
    <row r="100" spans="1:26" ht="15" customHeight="1" x14ac:dyDescent="0.2">
      <c r="A100" s="5" t="s">
        <v>91</v>
      </c>
      <c r="B100" s="6" t="s">
        <v>94</v>
      </c>
      <c r="C100" s="6" t="s">
        <v>38</v>
      </c>
      <c r="D100" s="7">
        <v>1</v>
      </c>
      <c r="E100" s="7">
        <v>1</v>
      </c>
      <c r="F100" s="7">
        <v>1.5</v>
      </c>
      <c r="G100" s="7">
        <v>0.5</v>
      </c>
      <c r="H100" s="7">
        <v>1</v>
      </c>
      <c r="I100" s="7">
        <v>1</v>
      </c>
      <c r="J100" s="7">
        <v>1</v>
      </c>
      <c r="K100" s="7">
        <f t="shared" si="36"/>
        <v>5</v>
      </c>
      <c r="L100" s="7">
        <f t="shared" si="37"/>
        <v>1.5</v>
      </c>
      <c r="M100" s="7">
        <f t="shared" si="38"/>
        <v>0.5</v>
      </c>
      <c r="N100" s="7">
        <f t="shared" si="39"/>
        <v>1.5</v>
      </c>
      <c r="O100" s="7">
        <f t="shared" si="40"/>
        <v>0.5</v>
      </c>
      <c r="P100" s="7">
        <f t="shared" si="41"/>
        <v>0.5</v>
      </c>
      <c r="Q100" s="8">
        <f t="shared" si="42"/>
        <v>9.5</v>
      </c>
      <c r="R100" s="9">
        <f t="shared" si="43"/>
        <v>9.5</v>
      </c>
      <c r="S100" s="10">
        <v>1</v>
      </c>
      <c r="T100" s="11">
        <v>0.33</v>
      </c>
      <c r="U100" s="12" t="str">
        <f t="shared" si="44"/>
        <v>G1</v>
      </c>
      <c r="V100" s="12">
        <f t="shared" si="45"/>
        <v>0</v>
      </c>
      <c r="W100" s="13" t="s">
        <v>67</v>
      </c>
      <c r="X100" s="14">
        <v>1.05</v>
      </c>
      <c r="Y100" s="15">
        <f t="shared" si="46"/>
        <v>9.9749999999999996</v>
      </c>
      <c r="Z100" s="16">
        <f t="shared" si="47"/>
        <v>0.47499999999999964</v>
      </c>
    </row>
    <row r="101" spans="1:26" ht="15" customHeight="1" x14ac:dyDescent="0.2">
      <c r="A101" s="17" t="s">
        <v>95</v>
      </c>
      <c r="B101" s="18" t="s">
        <v>83</v>
      </c>
      <c r="C101" s="18" t="s">
        <v>36</v>
      </c>
      <c r="D101" s="13">
        <v>1</v>
      </c>
      <c r="E101" s="13">
        <v>1.5</v>
      </c>
      <c r="F101" s="13">
        <v>1.5</v>
      </c>
      <c r="G101" s="13">
        <v>2</v>
      </c>
      <c r="H101" s="13">
        <v>1.5</v>
      </c>
      <c r="I101" s="13">
        <v>1.5</v>
      </c>
      <c r="J101" s="13">
        <v>1.5</v>
      </c>
      <c r="K101" s="13">
        <f t="shared" si="36"/>
        <v>7.5</v>
      </c>
      <c r="L101" s="13">
        <f t="shared" si="37"/>
        <v>1.5</v>
      </c>
      <c r="M101" s="13">
        <f t="shared" si="38"/>
        <v>2</v>
      </c>
      <c r="N101" s="13">
        <f t="shared" si="39"/>
        <v>2.25</v>
      </c>
      <c r="O101" s="13">
        <f t="shared" si="40"/>
        <v>0.75</v>
      </c>
      <c r="P101" s="13">
        <f t="shared" si="41"/>
        <v>0.75</v>
      </c>
      <c r="Q101" s="19">
        <f t="shared" si="42"/>
        <v>14.75</v>
      </c>
      <c r="R101" s="15">
        <f t="shared" si="43"/>
        <v>14.75</v>
      </c>
      <c r="S101" s="10">
        <v>2</v>
      </c>
      <c r="T101" s="20">
        <v>0.54</v>
      </c>
      <c r="U101" s="21" t="str">
        <f t="shared" si="44"/>
        <v>G1-2</v>
      </c>
      <c r="V101" s="21">
        <f t="shared" si="45"/>
        <v>0</v>
      </c>
      <c r="W101" s="13" t="s">
        <v>42</v>
      </c>
      <c r="X101" s="14">
        <v>0.7</v>
      </c>
      <c r="Y101" s="15">
        <f t="shared" si="46"/>
        <v>10.324999999999999</v>
      </c>
      <c r="Z101" s="16">
        <f t="shared" si="47"/>
        <v>-4.4250000000000007</v>
      </c>
    </row>
    <row r="102" spans="1:26" ht="15" customHeight="1" x14ac:dyDescent="0.2">
      <c r="A102" s="5" t="s">
        <v>95</v>
      </c>
      <c r="B102" s="6" t="s">
        <v>43</v>
      </c>
      <c r="C102" s="6" t="s">
        <v>44</v>
      </c>
      <c r="D102" s="7">
        <v>2</v>
      </c>
      <c r="E102" s="7">
        <v>1.5</v>
      </c>
      <c r="F102" s="7">
        <v>1.5</v>
      </c>
      <c r="G102" s="7">
        <v>2</v>
      </c>
      <c r="H102" s="7">
        <v>1.5</v>
      </c>
      <c r="I102" s="7">
        <v>1.5</v>
      </c>
      <c r="J102" s="7">
        <v>1.5</v>
      </c>
      <c r="K102" s="7">
        <f t="shared" si="36"/>
        <v>7.5</v>
      </c>
      <c r="L102" s="7">
        <f t="shared" si="37"/>
        <v>1.5</v>
      </c>
      <c r="M102" s="7">
        <f t="shared" si="38"/>
        <v>2</v>
      </c>
      <c r="N102" s="7">
        <f t="shared" si="39"/>
        <v>2.25</v>
      </c>
      <c r="O102" s="7">
        <f t="shared" si="40"/>
        <v>0.75</v>
      </c>
      <c r="P102" s="7">
        <f t="shared" si="41"/>
        <v>0.75</v>
      </c>
      <c r="Q102" s="8">
        <f t="shared" si="42"/>
        <v>14.75</v>
      </c>
      <c r="R102" s="9">
        <f t="shared" si="43"/>
        <v>29.5</v>
      </c>
      <c r="S102" s="10">
        <v>5</v>
      </c>
      <c r="T102" s="11">
        <v>0.47</v>
      </c>
      <c r="U102" s="12" t="str">
        <f t="shared" si="44"/>
        <v>G2-3</v>
      </c>
      <c r="V102" s="12">
        <f t="shared" si="45"/>
        <v>0</v>
      </c>
      <c r="W102" s="13" t="s">
        <v>42</v>
      </c>
      <c r="X102" s="14">
        <v>0.91</v>
      </c>
      <c r="Y102" s="15">
        <f t="shared" si="46"/>
        <v>26.845000000000002</v>
      </c>
      <c r="Z102" s="16">
        <f t="shared" si="47"/>
        <v>-2.6549999999999976</v>
      </c>
    </row>
    <row r="103" spans="1:26" ht="15" customHeight="1" x14ac:dyDescent="0.2">
      <c r="A103" s="17" t="s">
        <v>95</v>
      </c>
      <c r="B103" s="18" t="s">
        <v>37</v>
      </c>
      <c r="C103" s="18" t="s">
        <v>38</v>
      </c>
      <c r="D103" s="13">
        <v>1</v>
      </c>
      <c r="E103" s="13">
        <v>1.5</v>
      </c>
      <c r="F103" s="13">
        <v>1.5</v>
      </c>
      <c r="G103" s="13">
        <v>2</v>
      </c>
      <c r="H103" s="13">
        <v>1.5</v>
      </c>
      <c r="I103" s="13">
        <v>1.5</v>
      </c>
      <c r="J103" s="13">
        <v>1.5</v>
      </c>
      <c r="K103" s="13">
        <f t="shared" si="36"/>
        <v>7.5</v>
      </c>
      <c r="L103" s="13">
        <f t="shared" si="37"/>
        <v>1.5</v>
      </c>
      <c r="M103" s="13">
        <f t="shared" si="38"/>
        <v>2</v>
      </c>
      <c r="N103" s="13">
        <f t="shared" si="39"/>
        <v>2.25</v>
      </c>
      <c r="O103" s="13">
        <f t="shared" si="40"/>
        <v>0.75</v>
      </c>
      <c r="P103" s="13">
        <f t="shared" si="41"/>
        <v>0.75</v>
      </c>
      <c r="Q103" s="19">
        <f t="shared" si="42"/>
        <v>14.75</v>
      </c>
      <c r="R103" s="15">
        <f t="shared" si="43"/>
        <v>14.75</v>
      </c>
      <c r="S103" s="10">
        <v>2</v>
      </c>
      <c r="T103" s="20">
        <v>0.48</v>
      </c>
      <c r="U103" s="21" t="str">
        <f t="shared" si="44"/>
        <v>G1-2</v>
      </c>
      <c r="V103" s="21">
        <f t="shared" si="45"/>
        <v>0</v>
      </c>
      <c r="W103" s="13" t="s">
        <v>42</v>
      </c>
      <c r="X103" s="14">
        <v>0.62</v>
      </c>
      <c r="Y103" s="15">
        <f t="shared" si="46"/>
        <v>9.1449999999999996</v>
      </c>
      <c r="Z103" s="16">
        <f t="shared" si="47"/>
        <v>-5.6050000000000004</v>
      </c>
    </row>
    <row r="104" spans="1:26" ht="15" customHeight="1" x14ac:dyDescent="0.2">
      <c r="A104" s="5" t="s">
        <v>95</v>
      </c>
      <c r="B104" s="6" t="s">
        <v>45</v>
      </c>
      <c r="C104" s="6" t="s">
        <v>36</v>
      </c>
      <c r="D104" s="7">
        <v>1</v>
      </c>
      <c r="E104" s="7">
        <v>1.5</v>
      </c>
      <c r="F104" s="7">
        <v>1.5</v>
      </c>
      <c r="G104" s="7">
        <v>2</v>
      </c>
      <c r="H104" s="7">
        <v>1.5</v>
      </c>
      <c r="I104" s="7">
        <v>1.5</v>
      </c>
      <c r="J104" s="7">
        <v>1.5</v>
      </c>
      <c r="K104" s="7">
        <f t="shared" si="36"/>
        <v>7.5</v>
      </c>
      <c r="L104" s="7">
        <f t="shared" si="37"/>
        <v>1.5</v>
      </c>
      <c r="M104" s="7">
        <f t="shared" si="38"/>
        <v>2</v>
      </c>
      <c r="N104" s="7">
        <f t="shared" si="39"/>
        <v>2.25</v>
      </c>
      <c r="O104" s="7">
        <f t="shared" si="40"/>
        <v>0.75</v>
      </c>
      <c r="P104" s="7">
        <f t="shared" si="41"/>
        <v>0.75</v>
      </c>
      <c r="Q104" s="8">
        <f t="shared" si="42"/>
        <v>14.75</v>
      </c>
      <c r="R104" s="9">
        <f t="shared" si="43"/>
        <v>14.75</v>
      </c>
      <c r="S104" s="10">
        <v>2</v>
      </c>
      <c r="T104" s="11">
        <v>0.44</v>
      </c>
      <c r="U104" s="12" t="str">
        <f t="shared" si="44"/>
        <v>G1-2</v>
      </c>
      <c r="V104" s="12">
        <f t="shared" si="45"/>
        <v>0</v>
      </c>
      <c r="W104" s="13" t="s">
        <v>42</v>
      </c>
      <c r="X104" s="14">
        <v>0.7</v>
      </c>
      <c r="Y104" s="15">
        <f t="shared" si="46"/>
        <v>10.324999999999999</v>
      </c>
      <c r="Z104" s="16">
        <f t="shared" si="47"/>
        <v>-4.4250000000000007</v>
      </c>
    </row>
    <row r="105" spans="1:26" ht="15" customHeight="1" x14ac:dyDescent="0.2">
      <c r="A105" s="17" t="s">
        <v>95</v>
      </c>
      <c r="B105" s="18" t="s">
        <v>93</v>
      </c>
      <c r="C105" s="18" t="s">
        <v>49</v>
      </c>
      <c r="D105" s="13">
        <v>1.5</v>
      </c>
      <c r="E105" s="13">
        <v>1.5</v>
      </c>
      <c r="F105" s="13">
        <v>1.5</v>
      </c>
      <c r="G105" s="13">
        <v>2</v>
      </c>
      <c r="H105" s="13">
        <v>1.5</v>
      </c>
      <c r="I105" s="13">
        <v>1.5</v>
      </c>
      <c r="J105" s="13">
        <v>1.5</v>
      </c>
      <c r="K105" s="13">
        <f t="shared" si="36"/>
        <v>7.5</v>
      </c>
      <c r="L105" s="13">
        <f t="shared" si="37"/>
        <v>1.5</v>
      </c>
      <c r="M105" s="13">
        <f t="shared" si="38"/>
        <v>2</v>
      </c>
      <c r="N105" s="13">
        <f t="shared" si="39"/>
        <v>2.25</v>
      </c>
      <c r="O105" s="13">
        <f t="shared" si="40"/>
        <v>0.75</v>
      </c>
      <c r="P105" s="13">
        <f t="shared" si="41"/>
        <v>0.75</v>
      </c>
      <c r="Q105" s="19">
        <f t="shared" si="42"/>
        <v>14.75</v>
      </c>
      <c r="R105" s="15">
        <f t="shared" si="43"/>
        <v>22.125</v>
      </c>
      <c r="S105" s="10">
        <v>2</v>
      </c>
      <c r="T105" s="20">
        <v>0.13500000000000001</v>
      </c>
      <c r="U105" s="21" t="str">
        <f t="shared" si="44"/>
        <v>G2</v>
      </c>
      <c r="V105" s="21">
        <f t="shared" si="45"/>
        <v>0</v>
      </c>
      <c r="W105" s="13" t="s">
        <v>42</v>
      </c>
      <c r="X105" s="14">
        <v>0.2</v>
      </c>
      <c r="Y105" s="15">
        <f t="shared" si="46"/>
        <v>4.4249999999999998</v>
      </c>
      <c r="Z105" s="16">
        <f t="shared" si="47"/>
        <v>-17.7</v>
      </c>
    </row>
    <row r="106" spans="1:26" ht="15" customHeight="1" x14ac:dyDescent="0.2">
      <c r="A106" s="5" t="s">
        <v>95</v>
      </c>
      <c r="B106" s="6" t="s">
        <v>52</v>
      </c>
      <c r="C106" s="6" t="s">
        <v>33</v>
      </c>
      <c r="D106" s="7">
        <v>1.2</v>
      </c>
      <c r="E106" s="7">
        <v>1.5</v>
      </c>
      <c r="F106" s="7">
        <v>1.5</v>
      </c>
      <c r="G106" s="7">
        <v>2</v>
      </c>
      <c r="H106" s="7">
        <v>1.5</v>
      </c>
      <c r="I106" s="7">
        <v>1.5</v>
      </c>
      <c r="J106" s="7">
        <v>1.5</v>
      </c>
      <c r="K106" s="7">
        <f t="shared" si="36"/>
        <v>7.5</v>
      </c>
      <c r="L106" s="7">
        <f t="shared" si="37"/>
        <v>1.5</v>
      </c>
      <c r="M106" s="7">
        <f t="shared" si="38"/>
        <v>2</v>
      </c>
      <c r="N106" s="7">
        <f t="shared" si="39"/>
        <v>2.25</v>
      </c>
      <c r="O106" s="7">
        <f t="shared" si="40"/>
        <v>0.75</v>
      </c>
      <c r="P106" s="7">
        <f t="shared" si="41"/>
        <v>0.75</v>
      </c>
      <c r="Q106" s="8">
        <f t="shared" si="42"/>
        <v>14.75</v>
      </c>
      <c r="R106" s="9">
        <f t="shared" si="43"/>
        <v>17.7</v>
      </c>
      <c r="S106" s="10">
        <v>3</v>
      </c>
      <c r="T106" s="11">
        <v>0.3</v>
      </c>
      <c r="U106" s="12" t="str">
        <f t="shared" si="44"/>
        <v>G1-2</v>
      </c>
      <c r="V106" s="12">
        <f t="shared" si="45"/>
        <v>0</v>
      </c>
      <c r="W106" s="13" t="s">
        <v>42</v>
      </c>
      <c r="X106" s="14">
        <v>1</v>
      </c>
      <c r="Y106" s="15">
        <f t="shared" si="46"/>
        <v>17.7</v>
      </c>
      <c r="Z106" s="16">
        <f t="shared" si="47"/>
        <v>0</v>
      </c>
    </row>
    <row r="107" spans="1:26" ht="15" customHeight="1" x14ac:dyDescent="0.2">
      <c r="A107" s="17" t="s">
        <v>95</v>
      </c>
      <c r="B107" s="18" t="s">
        <v>96</v>
      </c>
      <c r="C107" s="18" t="s">
        <v>33</v>
      </c>
      <c r="D107" s="13">
        <v>1.2</v>
      </c>
      <c r="E107" s="13">
        <v>1.5</v>
      </c>
      <c r="F107" s="13">
        <v>1.5</v>
      </c>
      <c r="G107" s="13">
        <v>2</v>
      </c>
      <c r="H107" s="13">
        <v>1.5</v>
      </c>
      <c r="I107" s="13">
        <v>1.5</v>
      </c>
      <c r="J107" s="13">
        <v>1.5</v>
      </c>
      <c r="K107" s="13">
        <f t="shared" si="36"/>
        <v>7.5</v>
      </c>
      <c r="L107" s="13">
        <f t="shared" si="37"/>
        <v>1.5</v>
      </c>
      <c r="M107" s="13">
        <f t="shared" si="38"/>
        <v>2</v>
      </c>
      <c r="N107" s="13">
        <f t="shared" si="39"/>
        <v>2.25</v>
      </c>
      <c r="O107" s="13">
        <f t="shared" si="40"/>
        <v>0.75</v>
      </c>
      <c r="P107" s="13">
        <f t="shared" si="41"/>
        <v>0.75</v>
      </c>
      <c r="Q107" s="19">
        <f t="shared" si="42"/>
        <v>14.75</v>
      </c>
      <c r="R107" s="15">
        <f t="shared" si="43"/>
        <v>17.7</v>
      </c>
      <c r="S107" s="10">
        <v>2</v>
      </c>
      <c r="T107" s="20">
        <v>0.37</v>
      </c>
      <c r="U107" s="21" t="str">
        <f t="shared" si="44"/>
        <v>G1-2</v>
      </c>
      <c r="V107" s="21">
        <f t="shared" si="45"/>
        <v>0</v>
      </c>
      <c r="W107" s="13" t="s">
        <v>42</v>
      </c>
      <c r="X107" s="14">
        <v>1</v>
      </c>
      <c r="Y107" s="15">
        <f t="shared" si="46"/>
        <v>17.7</v>
      </c>
      <c r="Z107" s="16">
        <f t="shared" si="47"/>
        <v>0</v>
      </c>
    </row>
    <row r="109" spans="1:26" ht="15" customHeight="1" x14ac:dyDescent="0.2">
      <c r="A109" s="22" t="s">
        <v>97</v>
      </c>
    </row>
    <row r="110" spans="1:26" ht="15" customHeight="1" x14ac:dyDescent="0.2">
      <c r="A110" s="23" t="s">
        <v>98</v>
      </c>
    </row>
    <row r="111" spans="1:26" ht="15" customHeight="1" x14ac:dyDescent="0.2">
      <c r="A111" s="23" t="s">
        <v>99</v>
      </c>
    </row>
    <row r="112" spans="1:26" ht="15" customHeight="1" x14ac:dyDescent="0.2">
      <c r="A112" s="23" t="s">
        <v>100</v>
      </c>
    </row>
    <row r="113" spans="1:1" ht="15" customHeight="1" x14ac:dyDescent="0.2">
      <c r="A113" s="23" t="s">
        <v>101</v>
      </c>
    </row>
    <row r="115" spans="1:1" ht="15" customHeight="1" x14ac:dyDescent="0.2">
      <c r="A115" s="24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106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5*3+1*1+1*0.5+1.5*0.5+0.5*3+0.5*0.5</f>
        <v>19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27</v>
      </c>
      <c r="B8" s="18" t="s">
        <v>28</v>
      </c>
      <c r="C8" s="13">
        <v>1.8</v>
      </c>
      <c r="D8" s="13">
        <v>0</v>
      </c>
      <c r="E8" s="27">
        <v>5</v>
      </c>
      <c r="F8" s="28">
        <v>13</v>
      </c>
      <c r="G8" s="29">
        <v>40</v>
      </c>
      <c r="H8" s="30">
        <v>42</v>
      </c>
      <c r="I8" s="31">
        <v>0</v>
      </c>
      <c r="J8" s="20">
        <f t="shared" ref="J8:J15" si="0">(E8*1+F8*2+G8*3+H8*4+I8*5)/100</f>
        <v>3.19</v>
      </c>
      <c r="K8" s="32">
        <f t="shared" ref="K8:K15" si="1">G8+H8+I8</f>
        <v>82</v>
      </c>
      <c r="L8" s="15">
        <f t="shared" ref="L8:L15" si="2">$C$5*C8</f>
        <v>34.200000000000003</v>
      </c>
      <c r="M8" s="21" t="str">
        <f t="shared" ref="M8:M15" si="3">IF(L8&lt;12,"G1",IF(L8&lt;18,"G1-2",IF(L8&lt;25,"G2",IF(L8&lt;35,"G2-3",IF(L8&lt;45,"G3","G3-4")))))</f>
        <v>G2-3</v>
      </c>
      <c r="N8" s="13" t="str">
        <f t="shared" ref="N8:N15" si="4">IF(AND(K8&lt;10,L8&lt;18),"✓ concordant",IF(AND(K8&gt;=10,K8&lt;30,L8&gt;=12,L8&lt;35),"✓ concordant",IF(AND(K8&gt;=30,L8&gt;=25),"✓ concordant","⚠ à vérifier")))</f>
        <v>✓ concordant</v>
      </c>
      <c r="O8" s="33">
        <v>2.81</v>
      </c>
      <c r="P8" s="34">
        <f t="shared" ref="P8:P15" si="5">L8*O8</f>
        <v>96.102000000000004</v>
      </c>
    </row>
    <row r="9" spans="1:16" ht="15" customHeight="1" x14ac:dyDescent="0.2">
      <c r="A9" s="17" t="s">
        <v>30</v>
      </c>
      <c r="B9" s="18" t="s">
        <v>28</v>
      </c>
      <c r="C9" s="13">
        <v>1.8</v>
      </c>
      <c r="D9" s="13">
        <v>2</v>
      </c>
      <c r="E9" s="27">
        <v>3</v>
      </c>
      <c r="F9" s="28">
        <v>15</v>
      </c>
      <c r="G9" s="29">
        <v>35</v>
      </c>
      <c r="H9" s="30">
        <v>45</v>
      </c>
      <c r="I9" s="31">
        <v>0</v>
      </c>
      <c r="J9" s="20">
        <f t="shared" si="0"/>
        <v>3.18</v>
      </c>
      <c r="K9" s="32">
        <f t="shared" si="1"/>
        <v>80</v>
      </c>
      <c r="L9" s="15">
        <f t="shared" si="2"/>
        <v>34.200000000000003</v>
      </c>
      <c r="M9" s="21" t="str">
        <f t="shared" si="3"/>
        <v>G2-3</v>
      </c>
      <c r="N9" s="13" t="str">
        <f t="shared" si="4"/>
        <v>✓ concordant</v>
      </c>
      <c r="O9" s="33">
        <v>2.81</v>
      </c>
      <c r="P9" s="34">
        <f t="shared" si="5"/>
        <v>96.102000000000004</v>
      </c>
    </row>
    <row r="10" spans="1:16" ht="15" customHeight="1" x14ac:dyDescent="0.2">
      <c r="A10" s="17" t="s">
        <v>31</v>
      </c>
      <c r="B10" s="18" t="s">
        <v>28</v>
      </c>
      <c r="C10" s="13">
        <v>1.8</v>
      </c>
      <c r="D10" s="13">
        <v>16</v>
      </c>
      <c r="E10" s="27">
        <v>20</v>
      </c>
      <c r="F10" s="28">
        <v>25</v>
      </c>
      <c r="G10" s="29">
        <v>30</v>
      </c>
      <c r="H10" s="30">
        <v>9</v>
      </c>
      <c r="I10" s="31">
        <v>0</v>
      </c>
      <c r="J10" s="20">
        <f t="shared" si="0"/>
        <v>1.96</v>
      </c>
      <c r="K10" s="32">
        <f t="shared" si="1"/>
        <v>39</v>
      </c>
      <c r="L10" s="15">
        <f t="shared" si="2"/>
        <v>34.200000000000003</v>
      </c>
      <c r="M10" s="21" t="str">
        <f t="shared" si="3"/>
        <v>G2-3</v>
      </c>
      <c r="N10" s="13" t="str">
        <f t="shared" si="4"/>
        <v>✓ concordant</v>
      </c>
      <c r="O10" s="33">
        <v>2.81</v>
      </c>
      <c r="P10" s="34">
        <f t="shared" si="5"/>
        <v>96.102000000000004</v>
      </c>
    </row>
    <row r="11" spans="1:16" ht="15" customHeight="1" x14ac:dyDescent="0.2">
      <c r="A11" s="17" t="s">
        <v>32</v>
      </c>
      <c r="B11" s="18" t="s">
        <v>33</v>
      </c>
      <c r="C11" s="13">
        <v>1.2</v>
      </c>
      <c r="D11" s="13">
        <v>95</v>
      </c>
      <c r="E11" s="27">
        <v>0</v>
      </c>
      <c r="F11" s="28">
        <v>0</v>
      </c>
      <c r="G11" s="29">
        <v>2</v>
      </c>
      <c r="H11" s="30">
        <v>1</v>
      </c>
      <c r="I11" s="31">
        <v>2</v>
      </c>
      <c r="J11" s="20">
        <f t="shared" si="0"/>
        <v>0.2</v>
      </c>
      <c r="K11" s="32">
        <f t="shared" si="1"/>
        <v>5</v>
      </c>
      <c r="L11" s="15">
        <f t="shared" si="2"/>
        <v>22.8</v>
      </c>
      <c r="M11" s="21" t="str">
        <f t="shared" si="3"/>
        <v>G2</v>
      </c>
      <c r="N11" s="13" t="str">
        <f t="shared" si="4"/>
        <v>⚠ à vérifier</v>
      </c>
      <c r="O11" s="33">
        <v>0.57999999999999996</v>
      </c>
      <c r="P11" s="34">
        <f t="shared" si="5"/>
        <v>13.224</v>
      </c>
    </row>
    <row r="12" spans="1:16" ht="15" customHeight="1" x14ac:dyDescent="0.2">
      <c r="A12" s="17" t="s">
        <v>34</v>
      </c>
      <c r="B12" s="18" t="s">
        <v>33</v>
      </c>
      <c r="C12" s="13">
        <v>1.2</v>
      </c>
      <c r="D12" s="13">
        <v>60</v>
      </c>
      <c r="E12" s="27">
        <v>20</v>
      </c>
      <c r="F12" s="28">
        <v>12</v>
      </c>
      <c r="G12" s="29">
        <v>6</v>
      </c>
      <c r="H12" s="30">
        <v>2</v>
      </c>
      <c r="I12" s="31">
        <v>0</v>
      </c>
      <c r="J12" s="20">
        <f t="shared" si="0"/>
        <v>0.7</v>
      </c>
      <c r="K12" s="32">
        <f t="shared" si="1"/>
        <v>8</v>
      </c>
      <c r="L12" s="15">
        <f t="shared" si="2"/>
        <v>22.8</v>
      </c>
      <c r="M12" s="21" t="str">
        <f t="shared" si="3"/>
        <v>G2</v>
      </c>
      <c r="N12" s="13" t="str">
        <f t="shared" si="4"/>
        <v>⚠ à vérifier</v>
      </c>
      <c r="O12" s="33">
        <v>0.57999999999999996</v>
      </c>
      <c r="P12" s="34">
        <f t="shared" si="5"/>
        <v>13.224</v>
      </c>
    </row>
    <row r="13" spans="1:16" ht="15" customHeight="1" x14ac:dyDescent="0.2">
      <c r="A13" s="17" t="s">
        <v>35</v>
      </c>
      <c r="B13" s="18" t="s">
        <v>36</v>
      </c>
      <c r="C13" s="13">
        <v>1</v>
      </c>
      <c r="D13" s="13">
        <v>15</v>
      </c>
      <c r="E13" s="27">
        <v>40</v>
      </c>
      <c r="F13" s="28">
        <v>35</v>
      </c>
      <c r="G13" s="29">
        <v>10</v>
      </c>
      <c r="H13" s="30">
        <v>0</v>
      </c>
      <c r="I13" s="31">
        <v>0</v>
      </c>
      <c r="J13" s="20">
        <f t="shared" si="0"/>
        <v>1.4</v>
      </c>
      <c r="K13" s="32">
        <f t="shared" si="1"/>
        <v>10</v>
      </c>
      <c r="L13" s="15">
        <f t="shared" si="2"/>
        <v>19</v>
      </c>
      <c r="M13" s="21" t="str">
        <f t="shared" si="3"/>
        <v>G2</v>
      </c>
      <c r="N13" s="13" t="str">
        <f t="shared" si="4"/>
        <v>✓ concordant</v>
      </c>
      <c r="O13" s="33">
        <v>1.86</v>
      </c>
      <c r="P13" s="34">
        <f t="shared" si="5"/>
        <v>35.340000000000003</v>
      </c>
    </row>
    <row r="14" spans="1:16" ht="15" customHeight="1" x14ac:dyDescent="0.2">
      <c r="A14" s="17" t="s">
        <v>37</v>
      </c>
      <c r="B14" s="18" t="s">
        <v>38</v>
      </c>
      <c r="C14" s="13">
        <v>1</v>
      </c>
      <c r="D14" s="13">
        <v>55</v>
      </c>
      <c r="E14" s="27">
        <v>30</v>
      </c>
      <c r="F14" s="28">
        <v>12</v>
      </c>
      <c r="G14" s="29">
        <v>3</v>
      </c>
      <c r="H14" s="30">
        <v>0</v>
      </c>
      <c r="I14" s="31">
        <v>0</v>
      </c>
      <c r="J14" s="20">
        <f t="shared" si="0"/>
        <v>0.63</v>
      </c>
      <c r="K14" s="32">
        <f t="shared" si="1"/>
        <v>3</v>
      </c>
      <c r="L14" s="15">
        <f t="shared" si="2"/>
        <v>19</v>
      </c>
      <c r="M14" s="21" t="str">
        <f t="shared" si="3"/>
        <v>G2</v>
      </c>
      <c r="N14" s="13" t="str">
        <f t="shared" si="4"/>
        <v>⚠ à vérifier</v>
      </c>
      <c r="O14" s="33">
        <v>0.84</v>
      </c>
      <c r="P14" s="34">
        <f t="shared" si="5"/>
        <v>15.959999999999999</v>
      </c>
    </row>
    <row r="15" spans="1:16" ht="15" customHeight="1" x14ac:dyDescent="0.2">
      <c r="A15" s="17" t="s">
        <v>39</v>
      </c>
      <c r="B15" s="18" t="s">
        <v>40</v>
      </c>
      <c r="C15" s="13">
        <v>1.8</v>
      </c>
      <c r="D15" s="13">
        <v>80</v>
      </c>
      <c r="E15" s="27">
        <v>10</v>
      </c>
      <c r="F15" s="28">
        <v>5</v>
      </c>
      <c r="G15" s="29">
        <v>3</v>
      </c>
      <c r="H15" s="30">
        <v>2</v>
      </c>
      <c r="I15" s="31">
        <v>0</v>
      </c>
      <c r="J15" s="20">
        <f t="shared" si="0"/>
        <v>0.37</v>
      </c>
      <c r="K15" s="32">
        <f t="shared" si="1"/>
        <v>5</v>
      </c>
      <c r="L15" s="15">
        <f t="shared" si="2"/>
        <v>34.200000000000003</v>
      </c>
      <c r="M15" s="21" t="str">
        <f t="shared" si="3"/>
        <v>G2-3</v>
      </c>
      <c r="N15" s="13" t="str">
        <f t="shared" si="4"/>
        <v>⚠ à vérifier</v>
      </c>
      <c r="O15" s="33">
        <v>0.49</v>
      </c>
      <c r="P15" s="34">
        <f t="shared" si="5"/>
        <v>16.758000000000003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5*2+1*2+1*2+1.5*2+0.5*1.5+0.5*1</f>
        <v>18.25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30</v>
      </c>
      <c r="B8" s="18" t="s">
        <v>28</v>
      </c>
      <c r="C8" s="13">
        <v>1.8</v>
      </c>
      <c r="D8" s="13">
        <v>32</v>
      </c>
      <c r="E8" s="27">
        <v>5</v>
      </c>
      <c r="F8" s="28">
        <v>9</v>
      </c>
      <c r="G8" s="29">
        <v>28</v>
      </c>
      <c r="H8" s="30">
        <v>26</v>
      </c>
      <c r="I8" s="31">
        <v>0</v>
      </c>
      <c r="J8" s="20">
        <f t="shared" ref="J8:J14" si="0">(E8*1+F8*2+G8*3+H8*4+I8*5)/100</f>
        <v>2.11</v>
      </c>
      <c r="K8" s="32">
        <f t="shared" ref="K8:K14" si="1">G8+H8+I8</f>
        <v>54</v>
      </c>
      <c r="L8" s="15">
        <f t="shared" ref="L8:L14" si="2">$C$5*C8</f>
        <v>32.85</v>
      </c>
      <c r="M8" s="21" t="str">
        <f t="shared" ref="M8:M14" si="3">IF(L8&lt;12,"G1",IF(L8&lt;18,"G1-2",IF(L8&lt;25,"G2",IF(L8&lt;35,"G2-3",IF(L8&lt;45,"G3","G3-4")))))</f>
        <v>G2-3</v>
      </c>
      <c r="N8" s="13" t="str">
        <f t="shared" ref="N8:N14" si="4">IF(AND(K8&lt;10,L8&lt;18),"✓ concordant",IF(AND(K8&gt;=10,K8&lt;30,L8&gt;=12,L8&lt;35),"✓ concordant",IF(AND(K8&gt;=30,L8&gt;=25),"✓ concordant","⚠ à vérifier")))</f>
        <v>✓ concordant</v>
      </c>
      <c r="O8" s="33">
        <v>1.3</v>
      </c>
      <c r="P8" s="34">
        <f t="shared" ref="P8:P14" si="5">L8*O8</f>
        <v>42.705000000000005</v>
      </c>
    </row>
    <row r="9" spans="1:16" ht="15" customHeight="1" x14ac:dyDescent="0.2">
      <c r="A9" s="17" t="s">
        <v>43</v>
      </c>
      <c r="B9" s="18" t="s">
        <v>44</v>
      </c>
      <c r="C9" s="13">
        <v>2</v>
      </c>
      <c r="D9" s="13">
        <v>33</v>
      </c>
      <c r="E9" s="27">
        <v>30</v>
      </c>
      <c r="F9" s="28">
        <v>26</v>
      </c>
      <c r="G9" s="29">
        <v>9</v>
      </c>
      <c r="H9" s="30">
        <v>2</v>
      </c>
      <c r="I9" s="31">
        <v>0</v>
      </c>
      <c r="J9" s="20">
        <f t="shared" si="0"/>
        <v>1.17</v>
      </c>
      <c r="K9" s="32">
        <f t="shared" si="1"/>
        <v>11</v>
      </c>
      <c r="L9" s="15">
        <f t="shared" si="2"/>
        <v>36.5</v>
      </c>
      <c r="M9" s="21" t="str">
        <f t="shared" si="3"/>
        <v>G3</v>
      </c>
      <c r="N9" s="13" t="str">
        <f t="shared" si="4"/>
        <v>⚠ à vérifier</v>
      </c>
      <c r="O9" s="33">
        <v>0.91</v>
      </c>
      <c r="P9" s="34">
        <f t="shared" si="5"/>
        <v>33.215000000000003</v>
      </c>
    </row>
    <row r="10" spans="1:16" ht="15" customHeight="1" x14ac:dyDescent="0.2">
      <c r="A10" s="17" t="s">
        <v>45</v>
      </c>
      <c r="B10" s="18" t="s">
        <v>36</v>
      </c>
      <c r="C10" s="13">
        <v>1</v>
      </c>
      <c r="D10" s="13">
        <v>54</v>
      </c>
      <c r="E10" s="27">
        <v>25</v>
      </c>
      <c r="F10" s="28">
        <v>18</v>
      </c>
      <c r="G10" s="29">
        <v>3</v>
      </c>
      <c r="H10" s="30">
        <v>0</v>
      </c>
      <c r="I10" s="31">
        <v>0</v>
      </c>
      <c r="J10" s="20">
        <f t="shared" si="0"/>
        <v>0.7</v>
      </c>
      <c r="K10" s="32">
        <f t="shared" si="1"/>
        <v>3</v>
      </c>
      <c r="L10" s="15">
        <f t="shared" si="2"/>
        <v>18.25</v>
      </c>
      <c r="M10" s="21" t="str">
        <f t="shared" si="3"/>
        <v>G2</v>
      </c>
      <c r="N10" s="13" t="str">
        <f t="shared" si="4"/>
        <v>⚠ à vérifier</v>
      </c>
      <c r="O10" s="33">
        <v>0.7</v>
      </c>
      <c r="P10" s="34">
        <f t="shared" si="5"/>
        <v>12.774999999999999</v>
      </c>
    </row>
    <row r="11" spans="1:16" ht="15" customHeight="1" x14ac:dyDescent="0.2">
      <c r="A11" s="17" t="s">
        <v>37</v>
      </c>
      <c r="B11" s="18" t="s">
        <v>38</v>
      </c>
      <c r="C11" s="13">
        <v>1</v>
      </c>
      <c r="D11" s="13">
        <v>58</v>
      </c>
      <c r="E11" s="27">
        <v>25</v>
      </c>
      <c r="F11" s="28">
        <v>14</v>
      </c>
      <c r="G11" s="29">
        <v>3</v>
      </c>
      <c r="H11" s="30">
        <v>0</v>
      </c>
      <c r="I11" s="31">
        <v>0</v>
      </c>
      <c r="J11" s="20">
        <f t="shared" si="0"/>
        <v>0.62</v>
      </c>
      <c r="K11" s="32">
        <f t="shared" si="1"/>
        <v>3</v>
      </c>
      <c r="L11" s="15">
        <f t="shared" si="2"/>
        <v>18.25</v>
      </c>
      <c r="M11" s="21" t="str">
        <f t="shared" si="3"/>
        <v>G2</v>
      </c>
      <c r="N11" s="13" t="str">
        <f t="shared" si="4"/>
        <v>⚠ à vérifier</v>
      </c>
      <c r="O11" s="33">
        <v>0.62</v>
      </c>
      <c r="P11" s="34">
        <f t="shared" si="5"/>
        <v>11.315</v>
      </c>
    </row>
    <row r="12" spans="1:16" ht="15" customHeight="1" x14ac:dyDescent="0.2">
      <c r="A12" s="17" t="s">
        <v>46</v>
      </c>
      <c r="B12" s="18" t="s">
        <v>38</v>
      </c>
      <c r="C12" s="13">
        <v>1</v>
      </c>
      <c r="D12" s="13">
        <v>73</v>
      </c>
      <c r="E12" s="27">
        <v>15</v>
      </c>
      <c r="F12" s="28">
        <v>9</v>
      </c>
      <c r="G12" s="29">
        <v>3</v>
      </c>
      <c r="H12" s="30">
        <v>0</v>
      </c>
      <c r="I12" s="31">
        <v>0</v>
      </c>
      <c r="J12" s="20">
        <f t="shared" si="0"/>
        <v>0.42</v>
      </c>
      <c r="K12" s="32">
        <f t="shared" si="1"/>
        <v>3</v>
      </c>
      <c r="L12" s="15">
        <f t="shared" si="2"/>
        <v>18.25</v>
      </c>
      <c r="M12" s="21" t="str">
        <f t="shared" si="3"/>
        <v>G2</v>
      </c>
      <c r="N12" s="13" t="str">
        <f t="shared" si="4"/>
        <v>⚠ à vérifier</v>
      </c>
      <c r="O12" s="33">
        <v>0.62</v>
      </c>
      <c r="P12" s="34">
        <f t="shared" si="5"/>
        <v>11.315</v>
      </c>
    </row>
    <row r="13" spans="1:16" ht="15" customHeight="1" x14ac:dyDescent="0.2">
      <c r="A13" s="17" t="s">
        <v>47</v>
      </c>
      <c r="B13" s="18" t="s">
        <v>28</v>
      </c>
      <c r="C13" s="13">
        <v>1.8</v>
      </c>
      <c r="D13" s="13">
        <v>93</v>
      </c>
      <c r="E13" s="27">
        <v>0</v>
      </c>
      <c r="F13" s="28">
        <v>0</v>
      </c>
      <c r="G13" s="29">
        <v>5</v>
      </c>
      <c r="H13" s="30">
        <v>2</v>
      </c>
      <c r="I13" s="31">
        <v>0</v>
      </c>
      <c r="J13" s="20">
        <f t="shared" si="0"/>
        <v>0.23</v>
      </c>
      <c r="K13" s="32">
        <f t="shared" si="1"/>
        <v>7</v>
      </c>
      <c r="L13" s="15">
        <f t="shared" si="2"/>
        <v>32.85</v>
      </c>
      <c r="M13" s="21" t="str">
        <f t="shared" si="3"/>
        <v>G2-3</v>
      </c>
      <c r="N13" s="13" t="str">
        <f t="shared" si="4"/>
        <v>⚠ à vérifier</v>
      </c>
      <c r="O13" s="33">
        <v>1.3</v>
      </c>
      <c r="P13" s="34">
        <f t="shared" si="5"/>
        <v>42.705000000000005</v>
      </c>
    </row>
    <row r="14" spans="1:16" ht="15" customHeight="1" x14ac:dyDescent="0.2">
      <c r="A14" s="17" t="s">
        <v>48</v>
      </c>
      <c r="B14" s="18" t="s">
        <v>49</v>
      </c>
      <c r="C14" s="13">
        <v>1.5</v>
      </c>
      <c r="D14" s="13">
        <v>90</v>
      </c>
      <c r="E14" s="27">
        <v>3</v>
      </c>
      <c r="F14" s="28">
        <v>4</v>
      </c>
      <c r="G14" s="29">
        <v>2</v>
      </c>
      <c r="H14" s="30">
        <v>1</v>
      </c>
      <c r="I14" s="31">
        <v>0</v>
      </c>
      <c r="J14" s="20">
        <f t="shared" si="0"/>
        <v>0.21</v>
      </c>
      <c r="K14" s="32">
        <f t="shared" si="1"/>
        <v>3</v>
      </c>
      <c r="L14" s="15">
        <f t="shared" si="2"/>
        <v>27.375</v>
      </c>
      <c r="M14" s="21" t="str">
        <f t="shared" si="3"/>
        <v>G2-3</v>
      </c>
      <c r="N14" s="13" t="str">
        <f t="shared" si="4"/>
        <v>⚠ à vérifier</v>
      </c>
      <c r="O14" s="33">
        <v>0.2</v>
      </c>
      <c r="P14" s="34">
        <f t="shared" si="5"/>
        <v>5.4750000000000005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125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127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128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5*1+1*1.5+1*1+1.5*0.5+0.5*0.5+0.5*1.5</f>
        <v>9.25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27</v>
      </c>
      <c r="B8" s="18" t="s">
        <v>28</v>
      </c>
      <c r="C8" s="13">
        <v>1.8</v>
      </c>
      <c r="D8" s="13">
        <v>68.8</v>
      </c>
      <c r="E8" s="27">
        <v>10</v>
      </c>
      <c r="F8" s="28">
        <v>8.3000000000000007</v>
      </c>
      <c r="G8" s="29">
        <v>8.6</v>
      </c>
      <c r="H8" s="30">
        <v>4.3</v>
      </c>
      <c r="I8" s="31">
        <v>0</v>
      </c>
      <c r="J8" s="20">
        <f t="shared" ref="J8:J15" si="0">(E8*1+F8*2+G8*3+H8*4+I8*5)/100</f>
        <v>0.69599999999999995</v>
      </c>
      <c r="K8" s="32">
        <f t="shared" ref="K8:K15" si="1">G8+H8+I8</f>
        <v>12.899999999999999</v>
      </c>
      <c r="L8" s="15">
        <f t="shared" ref="L8:L15" si="2">$C$5*C8</f>
        <v>16.650000000000002</v>
      </c>
      <c r="M8" s="21" t="str">
        <f t="shared" ref="M8:M15" si="3">IF(L8&lt;12,"G1",IF(L8&lt;18,"G1-2",IF(L8&lt;25,"G2",IF(L8&lt;35,"G2-3",IF(L8&lt;45,"G3","G3-4")))))</f>
        <v>G1-2</v>
      </c>
      <c r="N8" s="13" t="str">
        <f t="shared" ref="N8:N15" si="4">IF(AND(K8&lt;10,L8&lt;18),"✓ concordant",IF(AND(K8&gt;=10,K8&lt;30,L8&gt;=12,L8&lt;35),"✓ concordant",IF(AND(K8&gt;=30,L8&gt;=25),"✓ concordant","⚠ à vérifier")))</f>
        <v>✓ concordant</v>
      </c>
      <c r="O8" s="33">
        <v>0.65</v>
      </c>
      <c r="P8" s="34">
        <f t="shared" ref="P8:P15" si="5">L8*O8</f>
        <v>10.822500000000002</v>
      </c>
    </row>
    <row r="9" spans="1:16" ht="15" customHeight="1" x14ac:dyDescent="0.2">
      <c r="A9" s="17" t="s">
        <v>52</v>
      </c>
      <c r="B9" s="18" t="s">
        <v>33</v>
      </c>
      <c r="C9" s="13">
        <v>1.2</v>
      </c>
      <c r="D9" s="13">
        <v>77.599999999999994</v>
      </c>
      <c r="E9" s="27">
        <v>14</v>
      </c>
      <c r="F9" s="28">
        <v>4.0999999999999996</v>
      </c>
      <c r="G9" s="29">
        <v>3.7</v>
      </c>
      <c r="H9" s="30">
        <v>0.6</v>
      </c>
      <c r="I9" s="31">
        <v>0</v>
      </c>
      <c r="J9" s="20">
        <f t="shared" si="0"/>
        <v>0.35699999999999998</v>
      </c>
      <c r="K9" s="32">
        <f t="shared" si="1"/>
        <v>4.3</v>
      </c>
      <c r="L9" s="15">
        <f t="shared" si="2"/>
        <v>11.1</v>
      </c>
      <c r="M9" s="21" t="str">
        <f t="shared" si="3"/>
        <v>G1</v>
      </c>
      <c r="N9" s="13" t="str">
        <f t="shared" si="4"/>
        <v>✓ concordant</v>
      </c>
      <c r="O9" s="33">
        <v>0.48</v>
      </c>
      <c r="P9" s="34">
        <f t="shared" si="5"/>
        <v>5.3279999999999994</v>
      </c>
    </row>
    <row r="10" spans="1:16" ht="15" customHeight="1" x14ac:dyDescent="0.2">
      <c r="A10" s="17" t="s">
        <v>53</v>
      </c>
      <c r="B10" s="18" t="s">
        <v>33</v>
      </c>
      <c r="C10" s="13">
        <v>1.2</v>
      </c>
      <c r="D10" s="13">
        <v>82</v>
      </c>
      <c r="E10" s="27">
        <v>12</v>
      </c>
      <c r="F10" s="28">
        <v>3</v>
      </c>
      <c r="G10" s="29">
        <v>2.5</v>
      </c>
      <c r="H10" s="30">
        <v>0.5</v>
      </c>
      <c r="I10" s="31">
        <v>0</v>
      </c>
      <c r="J10" s="20">
        <f t="shared" si="0"/>
        <v>0.27500000000000002</v>
      </c>
      <c r="K10" s="32">
        <f t="shared" si="1"/>
        <v>3</v>
      </c>
      <c r="L10" s="15">
        <f t="shared" si="2"/>
        <v>11.1</v>
      </c>
      <c r="M10" s="21" t="str">
        <f t="shared" si="3"/>
        <v>G1</v>
      </c>
      <c r="N10" s="13" t="str">
        <f t="shared" si="4"/>
        <v>✓ concordant</v>
      </c>
      <c r="O10" s="33">
        <v>0.48</v>
      </c>
      <c r="P10" s="34">
        <f t="shared" si="5"/>
        <v>5.3279999999999994</v>
      </c>
    </row>
    <row r="11" spans="1:16" ht="15" customHeight="1" x14ac:dyDescent="0.2">
      <c r="A11" s="17" t="s">
        <v>31</v>
      </c>
      <c r="B11" s="18" t="s">
        <v>28</v>
      </c>
      <c r="C11" s="13">
        <v>1.8</v>
      </c>
      <c r="D11" s="13">
        <v>85.7</v>
      </c>
      <c r="E11" s="27">
        <v>6</v>
      </c>
      <c r="F11" s="28">
        <v>4.2</v>
      </c>
      <c r="G11" s="29">
        <v>3.3</v>
      </c>
      <c r="H11" s="30">
        <v>0.8</v>
      </c>
      <c r="I11" s="31">
        <v>0</v>
      </c>
      <c r="J11" s="20">
        <f t="shared" si="0"/>
        <v>0.27499999999999997</v>
      </c>
      <c r="K11" s="32">
        <f t="shared" si="1"/>
        <v>4.0999999999999996</v>
      </c>
      <c r="L11" s="15">
        <f t="shared" si="2"/>
        <v>16.650000000000002</v>
      </c>
      <c r="M11" s="21" t="str">
        <f t="shared" si="3"/>
        <v>G1-2</v>
      </c>
      <c r="N11" s="13" t="str">
        <f t="shared" si="4"/>
        <v>✓ concordant</v>
      </c>
      <c r="O11" s="33">
        <v>0.65</v>
      </c>
      <c r="P11" s="34">
        <f t="shared" si="5"/>
        <v>10.822500000000002</v>
      </c>
    </row>
    <row r="12" spans="1:16" ht="15" customHeight="1" x14ac:dyDescent="0.2">
      <c r="A12" s="17" t="s">
        <v>37</v>
      </c>
      <c r="B12" s="18" t="s">
        <v>38</v>
      </c>
      <c r="C12" s="13">
        <v>1</v>
      </c>
      <c r="D12" s="13">
        <v>60.2</v>
      </c>
      <c r="E12" s="27">
        <v>25</v>
      </c>
      <c r="F12" s="28">
        <v>13</v>
      </c>
      <c r="G12" s="29">
        <v>1.8</v>
      </c>
      <c r="H12" s="30">
        <v>0</v>
      </c>
      <c r="I12" s="31">
        <v>0</v>
      </c>
      <c r="J12" s="20">
        <f t="shared" si="0"/>
        <v>0.56399999999999995</v>
      </c>
      <c r="K12" s="32">
        <f t="shared" si="1"/>
        <v>1.8</v>
      </c>
      <c r="L12" s="15">
        <f t="shared" si="2"/>
        <v>9.25</v>
      </c>
      <c r="M12" s="21" t="str">
        <f t="shared" si="3"/>
        <v>G1</v>
      </c>
      <c r="N12" s="13" t="str">
        <f t="shared" si="4"/>
        <v>✓ concordant</v>
      </c>
      <c r="O12" s="33">
        <v>0.75</v>
      </c>
      <c r="P12" s="34">
        <f t="shared" si="5"/>
        <v>6.9375</v>
      </c>
    </row>
    <row r="13" spans="1:16" ht="15" customHeight="1" x14ac:dyDescent="0.2">
      <c r="A13" s="17" t="s">
        <v>45</v>
      </c>
      <c r="B13" s="18" t="s">
        <v>36</v>
      </c>
      <c r="C13" s="13">
        <v>1</v>
      </c>
      <c r="D13" s="13">
        <v>64.5</v>
      </c>
      <c r="E13" s="27">
        <v>20</v>
      </c>
      <c r="F13" s="28">
        <v>13</v>
      </c>
      <c r="G13" s="29">
        <v>2.5</v>
      </c>
      <c r="H13" s="30">
        <v>0</v>
      </c>
      <c r="I13" s="31">
        <v>0</v>
      </c>
      <c r="J13" s="20">
        <f t="shared" si="0"/>
        <v>0.53500000000000003</v>
      </c>
      <c r="K13" s="32">
        <f t="shared" si="1"/>
        <v>2.5</v>
      </c>
      <c r="L13" s="15">
        <f t="shared" si="2"/>
        <v>9.25</v>
      </c>
      <c r="M13" s="21" t="str">
        <f t="shared" si="3"/>
        <v>G1</v>
      </c>
      <c r="N13" s="13" t="str">
        <f t="shared" si="4"/>
        <v>✓ concordant</v>
      </c>
      <c r="O13" s="33">
        <v>0.71</v>
      </c>
      <c r="P13" s="34">
        <f t="shared" si="5"/>
        <v>6.5674999999999999</v>
      </c>
    </row>
    <row r="14" spans="1:16" ht="15" customHeight="1" x14ac:dyDescent="0.2">
      <c r="A14" s="17" t="s">
        <v>54</v>
      </c>
      <c r="B14" s="18" t="s">
        <v>55</v>
      </c>
      <c r="C14" s="13">
        <v>1.9</v>
      </c>
      <c r="D14" s="13">
        <v>98.2</v>
      </c>
      <c r="E14" s="27">
        <v>1</v>
      </c>
      <c r="F14" s="28">
        <v>0.6</v>
      </c>
      <c r="G14" s="29">
        <v>0.2</v>
      </c>
      <c r="H14" s="30">
        <v>0</v>
      </c>
      <c r="I14" s="31">
        <v>0</v>
      </c>
      <c r="J14" s="20">
        <f t="shared" si="0"/>
        <v>2.8000000000000004E-2</v>
      </c>
      <c r="K14" s="32">
        <f t="shared" si="1"/>
        <v>0.2</v>
      </c>
      <c r="L14" s="15">
        <f t="shared" si="2"/>
        <v>17.574999999999999</v>
      </c>
      <c r="M14" s="21" t="str">
        <f t="shared" si="3"/>
        <v>G1-2</v>
      </c>
      <c r="N14" s="13" t="str">
        <f t="shared" si="4"/>
        <v>✓ concordant</v>
      </c>
      <c r="O14" s="33">
        <v>0.2</v>
      </c>
      <c r="P14" s="34">
        <f t="shared" si="5"/>
        <v>3.5150000000000001</v>
      </c>
    </row>
    <row r="15" spans="1:16" ht="15" customHeight="1" x14ac:dyDescent="0.2">
      <c r="A15" s="17" t="s">
        <v>43</v>
      </c>
      <c r="B15" s="18" t="s">
        <v>44</v>
      </c>
      <c r="C15" s="13">
        <v>2</v>
      </c>
      <c r="D15" s="13">
        <v>87</v>
      </c>
      <c r="E15" s="27">
        <v>8</v>
      </c>
      <c r="F15" s="28">
        <v>4</v>
      </c>
      <c r="G15" s="29">
        <v>1</v>
      </c>
      <c r="H15" s="30">
        <v>0</v>
      </c>
      <c r="I15" s="31">
        <v>0</v>
      </c>
      <c r="J15" s="20">
        <f t="shared" si="0"/>
        <v>0.19</v>
      </c>
      <c r="K15" s="32">
        <f t="shared" si="1"/>
        <v>1</v>
      </c>
      <c r="L15" s="15">
        <f t="shared" si="2"/>
        <v>18.5</v>
      </c>
      <c r="M15" s="21" t="str">
        <f t="shared" si="3"/>
        <v>G2</v>
      </c>
      <c r="N15" s="13" t="str">
        <f t="shared" si="4"/>
        <v>⚠ à vérifier</v>
      </c>
      <c r="O15" s="33">
        <v>0.25</v>
      </c>
      <c r="P15" s="34">
        <f t="shared" si="5"/>
        <v>4.625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132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5*3+1*3+1*0.5+1.5*0.5+0.5*3+0.5*0.5</f>
        <v>21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27</v>
      </c>
      <c r="B8" s="18" t="s">
        <v>28</v>
      </c>
      <c r="C8" s="13">
        <v>1.8</v>
      </c>
      <c r="D8" s="13">
        <v>49</v>
      </c>
      <c r="E8" s="27">
        <v>3</v>
      </c>
      <c r="F8" s="28">
        <v>3</v>
      </c>
      <c r="G8" s="29">
        <v>25</v>
      </c>
      <c r="H8" s="30">
        <v>20</v>
      </c>
      <c r="I8" s="31">
        <v>0</v>
      </c>
      <c r="J8" s="20">
        <f t="shared" ref="J8:J14" si="0">(E8*1+F8*2+G8*3+H8*4+I8*5)/100</f>
        <v>1.64</v>
      </c>
      <c r="K8" s="32">
        <f t="shared" ref="K8:K14" si="1">G8+H8+I8</f>
        <v>45</v>
      </c>
      <c r="L8" s="15">
        <f t="shared" ref="L8:L14" si="2">$C$5*C8</f>
        <v>37.800000000000004</v>
      </c>
      <c r="M8" s="21" t="str">
        <f t="shared" ref="M8:M14" si="3">IF(L8&lt;12,"G1",IF(L8&lt;18,"G1-2",IF(L8&lt;25,"G2",IF(L8&lt;35,"G2-3",IF(L8&lt;45,"G3","G3-4")))))</f>
        <v>G3</v>
      </c>
      <c r="N8" s="13" t="str">
        <f t="shared" ref="N8:N14" si="4">IF(AND(K8&lt;10,L8&lt;18),"✓ concordant",IF(AND(K8&gt;=10,K8&lt;30,L8&gt;=12,L8&lt;35),"✓ concordant",IF(AND(K8&gt;=30,L8&gt;=25),"✓ concordant","⚠ à vérifier")))</f>
        <v>✓ concordant</v>
      </c>
      <c r="O8" s="33">
        <v>2.81</v>
      </c>
      <c r="P8" s="34">
        <f t="shared" ref="P8:P14" si="5">L8*O8</f>
        <v>106.21800000000002</v>
      </c>
    </row>
    <row r="9" spans="1:16" ht="15" customHeight="1" x14ac:dyDescent="0.2">
      <c r="A9" s="17" t="s">
        <v>30</v>
      </c>
      <c r="B9" s="18" t="s">
        <v>28</v>
      </c>
      <c r="C9" s="13">
        <v>1.8</v>
      </c>
      <c r="D9" s="13">
        <v>51</v>
      </c>
      <c r="E9" s="27">
        <v>0</v>
      </c>
      <c r="F9" s="28">
        <v>0</v>
      </c>
      <c r="G9" s="29">
        <v>25</v>
      </c>
      <c r="H9" s="30">
        <v>24</v>
      </c>
      <c r="I9" s="31">
        <v>0</v>
      </c>
      <c r="J9" s="20">
        <f t="shared" si="0"/>
        <v>1.71</v>
      </c>
      <c r="K9" s="32">
        <f t="shared" si="1"/>
        <v>49</v>
      </c>
      <c r="L9" s="15">
        <f t="shared" si="2"/>
        <v>37.800000000000004</v>
      </c>
      <c r="M9" s="21" t="str">
        <f t="shared" si="3"/>
        <v>G3</v>
      </c>
      <c r="N9" s="13" t="str">
        <f t="shared" si="4"/>
        <v>✓ concordant</v>
      </c>
      <c r="O9" s="33">
        <v>2.81</v>
      </c>
      <c r="P9" s="34">
        <f t="shared" si="5"/>
        <v>106.21800000000002</v>
      </c>
    </row>
    <row r="10" spans="1:16" ht="15" customHeight="1" x14ac:dyDescent="0.2">
      <c r="A10" s="17" t="s">
        <v>31</v>
      </c>
      <c r="B10" s="18" t="s">
        <v>28</v>
      </c>
      <c r="C10" s="13">
        <v>1.8</v>
      </c>
      <c r="D10" s="13">
        <v>64</v>
      </c>
      <c r="E10" s="27">
        <v>6</v>
      </c>
      <c r="F10" s="28">
        <v>6</v>
      </c>
      <c r="G10" s="29">
        <v>18</v>
      </c>
      <c r="H10" s="30">
        <v>6</v>
      </c>
      <c r="I10" s="31">
        <v>0</v>
      </c>
      <c r="J10" s="20">
        <f t="shared" si="0"/>
        <v>0.96</v>
      </c>
      <c r="K10" s="32">
        <f t="shared" si="1"/>
        <v>24</v>
      </c>
      <c r="L10" s="15">
        <f t="shared" si="2"/>
        <v>37.800000000000004</v>
      </c>
      <c r="M10" s="21" t="str">
        <f t="shared" si="3"/>
        <v>G3</v>
      </c>
      <c r="N10" s="13" t="str">
        <f t="shared" si="4"/>
        <v>⚠ à vérifier</v>
      </c>
      <c r="O10" s="33">
        <v>2.81</v>
      </c>
      <c r="P10" s="34">
        <f t="shared" si="5"/>
        <v>106.21800000000002</v>
      </c>
    </row>
    <row r="11" spans="1:16" ht="15" customHeight="1" x14ac:dyDescent="0.2">
      <c r="A11" s="17" t="s">
        <v>32</v>
      </c>
      <c r="B11" s="18" t="s">
        <v>33</v>
      </c>
      <c r="C11" s="13">
        <v>1.2</v>
      </c>
      <c r="D11" s="13">
        <v>86</v>
      </c>
      <c r="E11" s="27">
        <v>0</v>
      </c>
      <c r="F11" s="28">
        <v>0</v>
      </c>
      <c r="G11" s="29">
        <v>8</v>
      </c>
      <c r="H11" s="30">
        <v>3</v>
      </c>
      <c r="I11" s="31">
        <v>3</v>
      </c>
      <c r="J11" s="20">
        <f t="shared" si="0"/>
        <v>0.51</v>
      </c>
      <c r="K11" s="32">
        <f t="shared" si="1"/>
        <v>14</v>
      </c>
      <c r="L11" s="15">
        <f t="shared" si="2"/>
        <v>25.2</v>
      </c>
      <c r="M11" s="21" t="str">
        <f t="shared" si="3"/>
        <v>G2-3</v>
      </c>
      <c r="N11" s="13" t="str">
        <f t="shared" si="4"/>
        <v>✓ concordant</v>
      </c>
      <c r="O11" s="33">
        <v>0.57999999999999996</v>
      </c>
      <c r="P11" s="34">
        <f t="shared" si="5"/>
        <v>14.615999999999998</v>
      </c>
    </row>
    <row r="12" spans="1:16" ht="15" customHeight="1" x14ac:dyDescent="0.2">
      <c r="A12" s="17" t="s">
        <v>34</v>
      </c>
      <c r="B12" s="18" t="s">
        <v>33</v>
      </c>
      <c r="C12" s="13">
        <v>1.2</v>
      </c>
      <c r="D12" s="13">
        <v>80</v>
      </c>
      <c r="E12" s="27">
        <v>10</v>
      </c>
      <c r="F12" s="28">
        <v>5</v>
      </c>
      <c r="G12" s="29">
        <v>4</v>
      </c>
      <c r="H12" s="30">
        <v>1</v>
      </c>
      <c r="I12" s="31">
        <v>0</v>
      </c>
      <c r="J12" s="20">
        <f t="shared" si="0"/>
        <v>0.36</v>
      </c>
      <c r="K12" s="32">
        <f t="shared" si="1"/>
        <v>5</v>
      </c>
      <c r="L12" s="15">
        <f t="shared" si="2"/>
        <v>25.2</v>
      </c>
      <c r="M12" s="21" t="str">
        <f t="shared" si="3"/>
        <v>G2-3</v>
      </c>
      <c r="N12" s="13" t="str">
        <f t="shared" si="4"/>
        <v>⚠ à vérifier</v>
      </c>
      <c r="O12" s="33">
        <v>0.57999999999999996</v>
      </c>
      <c r="P12" s="34">
        <f t="shared" si="5"/>
        <v>14.615999999999998</v>
      </c>
    </row>
    <row r="13" spans="1:16" ht="15" customHeight="1" x14ac:dyDescent="0.2">
      <c r="A13" s="17" t="s">
        <v>35</v>
      </c>
      <c r="B13" s="18" t="s">
        <v>36</v>
      </c>
      <c r="C13" s="13">
        <v>1</v>
      </c>
      <c r="D13" s="13">
        <v>74</v>
      </c>
      <c r="E13" s="27">
        <v>15</v>
      </c>
      <c r="F13" s="28">
        <v>8</v>
      </c>
      <c r="G13" s="29">
        <v>3</v>
      </c>
      <c r="H13" s="30">
        <v>0</v>
      </c>
      <c r="I13" s="31">
        <v>0</v>
      </c>
      <c r="J13" s="20">
        <f t="shared" si="0"/>
        <v>0.4</v>
      </c>
      <c r="K13" s="32">
        <f t="shared" si="1"/>
        <v>3</v>
      </c>
      <c r="L13" s="15">
        <f t="shared" si="2"/>
        <v>21</v>
      </c>
      <c r="M13" s="21" t="str">
        <f t="shared" si="3"/>
        <v>G2</v>
      </c>
      <c r="N13" s="13" t="str">
        <f t="shared" si="4"/>
        <v>⚠ à vérifier</v>
      </c>
      <c r="O13" s="33">
        <v>1.86</v>
      </c>
      <c r="P13" s="34">
        <f t="shared" si="5"/>
        <v>39.06</v>
      </c>
    </row>
    <row r="14" spans="1:16" ht="15" customHeight="1" x14ac:dyDescent="0.2">
      <c r="A14" s="17" t="s">
        <v>57</v>
      </c>
      <c r="B14" s="18" t="s">
        <v>33</v>
      </c>
      <c r="C14" s="13">
        <v>1.2</v>
      </c>
      <c r="D14" s="13">
        <v>85</v>
      </c>
      <c r="E14" s="27">
        <v>5</v>
      </c>
      <c r="F14" s="28">
        <v>4</v>
      </c>
      <c r="G14" s="29">
        <v>4</v>
      </c>
      <c r="H14" s="30">
        <v>2</v>
      </c>
      <c r="I14" s="31">
        <v>0</v>
      </c>
      <c r="J14" s="20">
        <f t="shared" si="0"/>
        <v>0.33</v>
      </c>
      <c r="K14" s="32">
        <f t="shared" si="1"/>
        <v>6</v>
      </c>
      <c r="L14" s="15">
        <f t="shared" si="2"/>
        <v>25.2</v>
      </c>
      <c r="M14" s="21" t="str">
        <f t="shared" si="3"/>
        <v>G2-3</v>
      </c>
      <c r="N14" s="13" t="str">
        <f t="shared" si="4"/>
        <v>⚠ à vérifier</v>
      </c>
      <c r="O14" s="33">
        <v>0.57999999999999996</v>
      </c>
      <c r="P14" s="34">
        <f t="shared" si="5"/>
        <v>14.615999999999998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5*1.5+1*1.5+1*2+1.5*2+0.5*1.5+0.5*0.5</f>
        <v>15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30</v>
      </c>
      <c r="B8" s="18" t="s">
        <v>28</v>
      </c>
      <c r="C8" s="13">
        <v>1.8</v>
      </c>
      <c r="D8" s="13">
        <v>40</v>
      </c>
      <c r="E8" s="27">
        <v>12</v>
      </c>
      <c r="F8" s="28">
        <v>20</v>
      </c>
      <c r="G8" s="29">
        <v>16</v>
      </c>
      <c r="H8" s="30">
        <v>12</v>
      </c>
      <c r="I8" s="31">
        <v>0</v>
      </c>
      <c r="J8" s="20">
        <f t="shared" ref="J8:J13" si="0">(E8*1+F8*2+G8*3+H8*4+I8*5)/100</f>
        <v>1.48</v>
      </c>
      <c r="K8" s="32">
        <f t="shared" ref="K8:K13" si="1">G8+H8+I8</f>
        <v>28</v>
      </c>
      <c r="L8" s="15">
        <f t="shared" ref="L8:L13" si="2">$C$5*C8</f>
        <v>27</v>
      </c>
      <c r="M8" s="21" t="str">
        <f t="shared" ref="M8:M13" si="3">IF(L8&lt;12,"G1",IF(L8&lt;18,"G1-2",IF(L8&lt;25,"G2",IF(L8&lt;35,"G2-3",IF(L8&lt;45,"G3","G3-4")))))</f>
        <v>G2-3</v>
      </c>
      <c r="N8" s="13" t="str">
        <f t="shared" ref="N8:N13" si="4">IF(AND(K8&lt;10,L8&lt;18),"✓ concordant",IF(AND(K8&gt;=10,K8&lt;30,L8&gt;=12,L8&lt;35),"✓ concordant",IF(AND(K8&gt;=30,L8&gt;=25),"✓ concordant","⚠ à vérifier")))</f>
        <v>✓ concordant</v>
      </c>
      <c r="O8" s="33">
        <v>1.3</v>
      </c>
      <c r="P8" s="34">
        <f t="shared" ref="P8:P13" si="5">L8*O8</f>
        <v>35.1</v>
      </c>
    </row>
    <row r="9" spans="1:16" ht="15" customHeight="1" x14ac:dyDescent="0.2">
      <c r="A9" s="17" t="s">
        <v>43</v>
      </c>
      <c r="B9" s="18" t="s">
        <v>44</v>
      </c>
      <c r="C9" s="13">
        <v>2</v>
      </c>
      <c r="D9" s="13">
        <v>59</v>
      </c>
      <c r="E9" s="27">
        <v>25</v>
      </c>
      <c r="F9" s="28">
        <v>13</v>
      </c>
      <c r="G9" s="29">
        <v>3</v>
      </c>
      <c r="H9" s="30">
        <v>0</v>
      </c>
      <c r="I9" s="31">
        <v>0</v>
      </c>
      <c r="J9" s="20">
        <f t="shared" si="0"/>
        <v>0.6</v>
      </c>
      <c r="K9" s="32">
        <f t="shared" si="1"/>
        <v>3</v>
      </c>
      <c r="L9" s="15">
        <f t="shared" si="2"/>
        <v>30</v>
      </c>
      <c r="M9" s="21" t="str">
        <f t="shared" si="3"/>
        <v>G2-3</v>
      </c>
      <c r="N9" s="13" t="str">
        <f t="shared" si="4"/>
        <v>⚠ à vérifier</v>
      </c>
      <c r="O9" s="33">
        <v>0.91</v>
      </c>
      <c r="P9" s="34">
        <f t="shared" si="5"/>
        <v>27.3</v>
      </c>
    </row>
    <row r="10" spans="1:16" ht="15" customHeight="1" x14ac:dyDescent="0.2">
      <c r="A10" s="17" t="s">
        <v>31</v>
      </c>
      <c r="B10" s="18" t="s">
        <v>28</v>
      </c>
      <c r="C10" s="13">
        <v>1.8</v>
      </c>
      <c r="D10" s="13">
        <v>68</v>
      </c>
      <c r="E10" s="27">
        <v>12</v>
      </c>
      <c r="F10" s="28">
        <v>12</v>
      </c>
      <c r="G10" s="29">
        <v>6</v>
      </c>
      <c r="H10" s="30">
        <v>2</v>
      </c>
      <c r="I10" s="31">
        <v>0</v>
      </c>
      <c r="J10" s="20">
        <f t="shared" si="0"/>
        <v>0.62</v>
      </c>
      <c r="K10" s="32">
        <f t="shared" si="1"/>
        <v>8</v>
      </c>
      <c r="L10" s="15">
        <f t="shared" si="2"/>
        <v>27</v>
      </c>
      <c r="M10" s="21" t="str">
        <f t="shared" si="3"/>
        <v>G2-3</v>
      </c>
      <c r="N10" s="13" t="str">
        <f t="shared" si="4"/>
        <v>⚠ à vérifier</v>
      </c>
      <c r="O10" s="33">
        <v>1.3</v>
      </c>
      <c r="P10" s="34">
        <f t="shared" si="5"/>
        <v>35.1</v>
      </c>
    </row>
    <row r="11" spans="1:16" ht="15" customHeight="1" x14ac:dyDescent="0.2">
      <c r="A11" s="17" t="s">
        <v>46</v>
      </c>
      <c r="B11" s="18" t="s">
        <v>38</v>
      </c>
      <c r="C11" s="13">
        <v>1</v>
      </c>
      <c r="D11" s="13">
        <v>72</v>
      </c>
      <c r="E11" s="27">
        <v>18</v>
      </c>
      <c r="F11" s="28">
        <v>8</v>
      </c>
      <c r="G11" s="29">
        <v>2</v>
      </c>
      <c r="H11" s="30">
        <v>0</v>
      </c>
      <c r="I11" s="31">
        <v>0</v>
      </c>
      <c r="J11" s="20">
        <f t="shared" si="0"/>
        <v>0.4</v>
      </c>
      <c r="K11" s="32">
        <f t="shared" si="1"/>
        <v>2</v>
      </c>
      <c r="L11" s="15">
        <f t="shared" si="2"/>
        <v>15</v>
      </c>
      <c r="M11" s="21" t="str">
        <f t="shared" si="3"/>
        <v>G1-2</v>
      </c>
      <c r="N11" s="13" t="str">
        <f t="shared" si="4"/>
        <v>✓ concordant</v>
      </c>
      <c r="O11" s="33">
        <v>0.62</v>
      </c>
      <c r="P11" s="34">
        <f t="shared" si="5"/>
        <v>9.3000000000000007</v>
      </c>
    </row>
    <row r="12" spans="1:16" ht="15" customHeight="1" x14ac:dyDescent="0.2">
      <c r="A12" s="17" t="s">
        <v>27</v>
      </c>
      <c r="B12" s="18" t="s">
        <v>28</v>
      </c>
      <c r="C12" s="13">
        <v>1.8</v>
      </c>
      <c r="D12" s="13">
        <v>82</v>
      </c>
      <c r="E12" s="27">
        <v>5</v>
      </c>
      <c r="F12" s="28">
        <v>5</v>
      </c>
      <c r="G12" s="29">
        <v>5</v>
      </c>
      <c r="H12" s="30">
        <v>3</v>
      </c>
      <c r="I12" s="31">
        <v>0</v>
      </c>
      <c r="J12" s="20">
        <f t="shared" si="0"/>
        <v>0.42</v>
      </c>
      <c r="K12" s="32">
        <f t="shared" si="1"/>
        <v>8</v>
      </c>
      <c r="L12" s="15">
        <f t="shared" si="2"/>
        <v>27</v>
      </c>
      <c r="M12" s="21" t="str">
        <f t="shared" si="3"/>
        <v>G2-3</v>
      </c>
      <c r="N12" s="13" t="str">
        <f t="shared" si="4"/>
        <v>⚠ à vérifier</v>
      </c>
      <c r="O12" s="33">
        <v>1.3</v>
      </c>
      <c r="P12" s="34">
        <f t="shared" si="5"/>
        <v>35.1</v>
      </c>
    </row>
    <row r="13" spans="1:16" ht="15" customHeight="1" x14ac:dyDescent="0.2">
      <c r="A13" s="17" t="s">
        <v>45</v>
      </c>
      <c r="B13" s="18" t="s">
        <v>36</v>
      </c>
      <c r="C13" s="13">
        <v>1</v>
      </c>
      <c r="D13" s="13">
        <v>70</v>
      </c>
      <c r="E13" s="27">
        <v>18</v>
      </c>
      <c r="F13" s="28">
        <v>10</v>
      </c>
      <c r="G13" s="29">
        <v>2</v>
      </c>
      <c r="H13" s="30">
        <v>0</v>
      </c>
      <c r="I13" s="31">
        <v>0</v>
      </c>
      <c r="J13" s="20">
        <f t="shared" si="0"/>
        <v>0.44</v>
      </c>
      <c r="K13" s="32">
        <f t="shared" si="1"/>
        <v>2</v>
      </c>
      <c r="L13" s="15">
        <f t="shared" si="2"/>
        <v>15</v>
      </c>
      <c r="M13" s="21" t="str">
        <f t="shared" si="3"/>
        <v>G1-2</v>
      </c>
      <c r="N13" s="13" t="str">
        <f t="shared" si="4"/>
        <v>✓ concordant</v>
      </c>
      <c r="O13" s="33">
        <v>0.7</v>
      </c>
      <c r="P13" s="34">
        <f t="shared" si="5"/>
        <v>10.5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5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140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5*1.5+1*1.5+1*2+1.5*1.5+0.5*1.5+0.5*2.5</f>
        <v>15.25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43</v>
      </c>
      <c r="B8" s="18" t="s">
        <v>44</v>
      </c>
      <c r="C8" s="13">
        <v>2</v>
      </c>
      <c r="D8" s="13">
        <v>52</v>
      </c>
      <c r="E8" s="27">
        <v>25</v>
      </c>
      <c r="F8" s="28">
        <v>17.899999999999999</v>
      </c>
      <c r="G8" s="29">
        <v>4.4000000000000004</v>
      </c>
      <c r="H8" s="30">
        <v>0.7</v>
      </c>
      <c r="I8" s="31">
        <v>0</v>
      </c>
      <c r="J8" s="20">
        <f t="shared" ref="J8:J15" si="0">(E8*1+F8*2+G8*3+H8*4+I8*5)/100</f>
        <v>0.76800000000000002</v>
      </c>
      <c r="K8" s="32">
        <f t="shared" ref="K8:K15" si="1">G8+H8+I8</f>
        <v>5.1000000000000005</v>
      </c>
      <c r="L8" s="15">
        <f t="shared" ref="L8:L15" si="2">$C$5*C8</f>
        <v>30.5</v>
      </c>
      <c r="M8" s="21" t="str">
        <f t="shared" ref="M8:M15" si="3">IF(L8&lt;12,"G1",IF(L8&lt;18,"G1-2",IF(L8&lt;25,"G2",IF(L8&lt;35,"G2-3",IF(L8&lt;45,"G3","G3-4")))))</f>
        <v>G2-3</v>
      </c>
      <c r="N8" s="13" t="str">
        <f t="shared" ref="N8:N15" si="4">IF(AND(K8&lt;10,L8&lt;18),"✓ concordant",IF(AND(K8&gt;=10,K8&lt;30,L8&gt;=12,L8&lt;35),"✓ concordant",IF(AND(K8&gt;=30,L8&gt;=25),"✓ concordant","⚠ à vérifier")))</f>
        <v>⚠ à vérifier</v>
      </c>
      <c r="O8" s="33">
        <v>0.91</v>
      </c>
      <c r="P8" s="34">
        <f t="shared" ref="P8:P15" si="5">L8*O8</f>
        <v>27.755000000000003</v>
      </c>
    </row>
    <row r="9" spans="1:16" ht="15" customHeight="1" x14ac:dyDescent="0.2">
      <c r="A9" s="17" t="s">
        <v>60</v>
      </c>
      <c r="B9" s="18" t="s">
        <v>61</v>
      </c>
      <c r="C9" s="13">
        <v>1.3</v>
      </c>
      <c r="D9" s="13">
        <v>52.7</v>
      </c>
      <c r="E9" s="27">
        <v>18</v>
      </c>
      <c r="F9" s="28">
        <v>14.4</v>
      </c>
      <c r="G9" s="29">
        <v>12</v>
      </c>
      <c r="H9" s="30">
        <v>2.9</v>
      </c>
      <c r="I9" s="31">
        <v>0</v>
      </c>
      <c r="J9" s="20">
        <f t="shared" si="0"/>
        <v>0.94399999999999995</v>
      </c>
      <c r="K9" s="32">
        <f t="shared" si="1"/>
        <v>14.9</v>
      </c>
      <c r="L9" s="15">
        <f t="shared" si="2"/>
        <v>19.824999999999999</v>
      </c>
      <c r="M9" s="21" t="str">
        <f t="shared" si="3"/>
        <v>G2</v>
      </c>
      <c r="N9" s="13" t="str">
        <f t="shared" si="4"/>
        <v>✓ concordant</v>
      </c>
      <c r="O9" s="33">
        <v>1.26</v>
      </c>
      <c r="P9" s="34">
        <f t="shared" si="5"/>
        <v>24.979499999999998</v>
      </c>
    </row>
    <row r="10" spans="1:16" ht="15" customHeight="1" x14ac:dyDescent="0.2">
      <c r="A10" s="17" t="s">
        <v>45</v>
      </c>
      <c r="B10" s="18" t="s">
        <v>36</v>
      </c>
      <c r="C10" s="13">
        <v>1</v>
      </c>
      <c r="D10" s="13">
        <v>50</v>
      </c>
      <c r="E10" s="27">
        <v>25</v>
      </c>
      <c r="F10" s="28">
        <v>18.2</v>
      </c>
      <c r="G10" s="29">
        <v>6.8</v>
      </c>
      <c r="H10" s="30">
        <v>0</v>
      </c>
      <c r="I10" s="31">
        <v>0</v>
      </c>
      <c r="J10" s="20">
        <f t="shared" si="0"/>
        <v>0.81799999999999995</v>
      </c>
      <c r="K10" s="32">
        <f t="shared" si="1"/>
        <v>6.8</v>
      </c>
      <c r="L10" s="15">
        <f t="shared" si="2"/>
        <v>15.25</v>
      </c>
      <c r="M10" s="21" t="str">
        <f t="shared" si="3"/>
        <v>G1-2</v>
      </c>
      <c r="N10" s="13" t="str">
        <f t="shared" si="4"/>
        <v>✓ concordant</v>
      </c>
      <c r="O10" s="33">
        <v>0.7</v>
      </c>
      <c r="P10" s="34">
        <f t="shared" si="5"/>
        <v>10.674999999999999</v>
      </c>
    </row>
    <row r="11" spans="1:16" ht="15" customHeight="1" x14ac:dyDescent="0.2">
      <c r="A11" s="17" t="s">
        <v>62</v>
      </c>
      <c r="B11" s="18" t="s">
        <v>61</v>
      </c>
      <c r="C11" s="13">
        <v>1.3</v>
      </c>
      <c r="D11" s="13">
        <v>65</v>
      </c>
      <c r="E11" s="27">
        <v>35</v>
      </c>
      <c r="F11" s="28">
        <v>0</v>
      </c>
      <c r="G11" s="29">
        <v>0</v>
      </c>
      <c r="H11" s="30">
        <v>0</v>
      </c>
      <c r="I11" s="31">
        <v>0</v>
      </c>
      <c r="J11" s="20">
        <f t="shared" si="0"/>
        <v>0.35</v>
      </c>
      <c r="K11" s="32">
        <f t="shared" si="1"/>
        <v>0</v>
      </c>
      <c r="L11" s="15">
        <f t="shared" si="2"/>
        <v>19.824999999999999</v>
      </c>
      <c r="M11" s="21" t="str">
        <f t="shared" si="3"/>
        <v>G2</v>
      </c>
      <c r="N11" s="13" t="str">
        <f t="shared" si="4"/>
        <v>⚠ à vérifier</v>
      </c>
      <c r="O11" s="33">
        <v>1.26</v>
      </c>
      <c r="P11" s="34">
        <f t="shared" si="5"/>
        <v>24.979499999999998</v>
      </c>
    </row>
    <row r="12" spans="1:16" ht="15" customHeight="1" x14ac:dyDescent="0.2">
      <c r="A12" s="17" t="s">
        <v>63</v>
      </c>
      <c r="B12" s="18" t="s">
        <v>36</v>
      </c>
      <c r="C12" s="13">
        <v>1</v>
      </c>
      <c r="D12" s="13">
        <v>66</v>
      </c>
      <c r="E12" s="27">
        <v>20</v>
      </c>
      <c r="F12" s="28">
        <v>11</v>
      </c>
      <c r="G12" s="29">
        <v>3</v>
      </c>
      <c r="H12" s="30">
        <v>0</v>
      </c>
      <c r="I12" s="31">
        <v>0</v>
      </c>
      <c r="J12" s="20">
        <f t="shared" si="0"/>
        <v>0.51</v>
      </c>
      <c r="K12" s="32">
        <f t="shared" si="1"/>
        <v>3</v>
      </c>
      <c r="L12" s="15">
        <f t="shared" si="2"/>
        <v>15.25</v>
      </c>
      <c r="M12" s="21" t="str">
        <f t="shared" si="3"/>
        <v>G1-2</v>
      </c>
      <c r="N12" s="13" t="str">
        <f t="shared" si="4"/>
        <v>✓ concordant</v>
      </c>
      <c r="O12" s="33">
        <v>0.7</v>
      </c>
      <c r="P12" s="34">
        <f t="shared" si="5"/>
        <v>10.674999999999999</v>
      </c>
    </row>
    <row r="13" spans="1:16" ht="15" customHeight="1" x14ac:dyDescent="0.2">
      <c r="A13" s="17" t="s">
        <v>64</v>
      </c>
      <c r="B13" s="18" t="s">
        <v>36</v>
      </c>
      <c r="C13" s="13">
        <v>1</v>
      </c>
      <c r="D13" s="13">
        <v>93.2</v>
      </c>
      <c r="E13" s="27">
        <v>2</v>
      </c>
      <c r="F13" s="28">
        <v>1.1000000000000001</v>
      </c>
      <c r="G13" s="29">
        <v>3.4</v>
      </c>
      <c r="H13" s="30">
        <v>0.3</v>
      </c>
      <c r="I13" s="31">
        <v>0.3</v>
      </c>
      <c r="J13" s="20">
        <f t="shared" si="0"/>
        <v>0.17099999999999999</v>
      </c>
      <c r="K13" s="32">
        <f t="shared" si="1"/>
        <v>3.9999999999999996</v>
      </c>
      <c r="L13" s="15">
        <f t="shared" si="2"/>
        <v>15.25</v>
      </c>
      <c r="M13" s="21" t="str">
        <f t="shared" si="3"/>
        <v>G1-2</v>
      </c>
      <c r="N13" s="13" t="str">
        <f t="shared" si="4"/>
        <v>✓ concordant</v>
      </c>
      <c r="O13" s="33">
        <v>0.7</v>
      </c>
      <c r="P13" s="34">
        <f t="shared" si="5"/>
        <v>10.674999999999999</v>
      </c>
    </row>
    <row r="14" spans="1:16" ht="15" customHeight="1" x14ac:dyDescent="0.2">
      <c r="A14" s="17" t="s">
        <v>65</v>
      </c>
      <c r="B14" s="18" t="s">
        <v>61</v>
      </c>
      <c r="C14" s="13">
        <v>1.3</v>
      </c>
      <c r="D14" s="13">
        <v>98.4</v>
      </c>
      <c r="E14" s="27">
        <v>0</v>
      </c>
      <c r="F14" s="28">
        <v>0</v>
      </c>
      <c r="G14" s="29">
        <v>1</v>
      </c>
      <c r="H14" s="30">
        <v>0.6</v>
      </c>
      <c r="I14" s="31">
        <v>0</v>
      </c>
      <c r="J14" s="20">
        <f t="shared" si="0"/>
        <v>5.4000000000000006E-2</v>
      </c>
      <c r="K14" s="32">
        <f t="shared" si="1"/>
        <v>1.6</v>
      </c>
      <c r="L14" s="15">
        <f t="shared" si="2"/>
        <v>19.824999999999999</v>
      </c>
      <c r="M14" s="21" t="str">
        <f t="shared" si="3"/>
        <v>G2</v>
      </c>
      <c r="N14" s="13" t="str">
        <f t="shared" si="4"/>
        <v>⚠ à vérifier</v>
      </c>
      <c r="O14" s="33">
        <v>1.26</v>
      </c>
      <c r="P14" s="34">
        <f t="shared" si="5"/>
        <v>24.979499999999998</v>
      </c>
    </row>
    <row r="15" spans="1:16" ht="15" customHeight="1" x14ac:dyDescent="0.2">
      <c r="A15" s="17" t="s">
        <v>30</v>
      </c>
      <c r="B15" s="18" t="s">
        <v>28</v>
      </c>
      <c r="C15" s="13">
        <v>1.8</v>
      </c>
      <c r="D15" s="13">
        <v>80</v>
      </c>
      <c r="E15" s="27">
        <v>6</v>
      </c>
      <c r="F15" s="28">
        <v>7</v>
      </c>
      <c r="G15" s="29">
        <v>5</v>
      </c>
      <c r="H15" s="30">
        <v>2</v>
      </c>
      <c r="I15" s="31">
        <v>0</v>
      </c>
      <c r="J15" s="20">
        <f t="shared" si="0"/>
        <v>0.43</v>
      </c>
      <c r="K15" s="32">
        <f t="shared" si="1"/>
        <v>7</v>
      </c>
      <c r="L15" s="15">
        <f t="shared" si="2"/>
        <v>27.45</v>
      </c>
      <c r="M15" s="21" t="str">
        <f t="shared" si="3"/>
        <v>G2-3</v>
      </c>
      <c r="N15" s="13" t="str">
        <f t="shared" si="4"/>
        <v>⚠ à vérifier</v>
      </c>
      <c r="O15" s="33">
        <v>1.3</v>
      </c>
      <c r="P15" s="34">
        <f t="shared" si="5"/>
        <v>35.685000000000002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7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141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144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5*1+1*2.5+1*0.5+1.5*2+0.5*1+0.5*1</f>
        <v>12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37</v>
      </c>
      <c r="B8" s="18" t="s">
        <v>38</v>
      </c>
      <c r="C8" s="13">
        <v>1</v>
      </c>
      <c r="D8" s="13">
        <v>26.8</v>
      </c>
      <c r="E8" s="27">
        <v>45</v>
      </c>
      <c r="F8" s="28">
        <v>22</v>
      </c>
      <c r="G8" s="29">
        <v>6.6</v>
      </c>
      <c r="H8" s="30">
        <v>0</v>
      </c>
      <c r="I8" s="31">
        <v>0</v>
      </c>
      <c r="J8" s="20">
        <f t="shared" ref="J8:J17" si="0">(E8*1+F8*2+G8*3+H8*4+I8*5)/100</f>
        <v>1.0880000000000001</v>
      </c>
      <c r="K8" s="32">
        <f t="shared" ref="K8:K17" si="1">G8+H8+I8</f>
        <v>6.6</v>
      </c>
      <c r="L8" s="15">
        <f t="shared" ref="L8:L17" si="2">$C$5*C8</f>
        <v>12</v>
      </c>
      <c r="M8" s="21" t="str">
        <f t="shared" ref="M8:M17" si="3">IF(L8&lt;12,"G1",IF(L8&lt;18,"G1-2",IF(L8&lt;25,"G2",IF(L8&lt;35,"G2-3",IF(L8&lt;45,"G3","G3-4")))))</f>
        <v>G1-2</v>
      </c>
      <c r="N8" s="13" t="str">
        <f t="shared" ref="N8:N17" si="4">IF(AND(K8&lt;10,L8&lt;18),"✓ concordant",IF(AND(K8&gt;=10,K8&lt;30,L8&gt;=12,L8&lt;35),"✓ concordant",IF(AND(K8&gt;=30,L8&gt;=25),"✓ concordant","⚠ à vérifier")))</f>
        <v>✓ concordant</v>
      </c>
      <c r="O8" s="33">
        <v>1.05</v>
      </c>
      <c r="P8" s="34">
        <f t="shared" ref="P8:P17" si="5">L8*O8</f>
        <v>12.600000000000001</v>
      </c>
    </row>
    <row r="9" spans="1:16" ht="15" customHeight="1" x14ac:dyDescent="0.2">
      <c r="A9" s="17" t="s">
        <v>30</v>
      </c>
      <c r="B9" s="18" t="s">
        <v>28</v>
      </c>
      <c r="C9" s="13">
        <v>1.8</v>
      </c>
      <c r="D9" s="13">
        <v>35.6</v>
      </c>
      <c r="E9" s="27">
        <v>20</v>
      </c>
      <c r="F9" s="28">
        <v>25</v>
      </c>
      <c r="G9" s="29">
        <v>15.6</v>
      </c>
      <c r="H9" s="30">
        <v>3.9</v>
      </c>
      <c r="I9" s="31">
        <v>0</v>
      </c>
      <c r="J9" s="20">
        <f t="shared" si="0"/>
        <v>1.3240000000000001</v>
      </c>
      <c r="K9" s="32">
        <f t="shared" si="1"/>
        <v>19.5</v>
      </c>
      <c r="L9" s="15">
        <f t="shared" si="2"/>
        <v>21.6</v>
      </c>
      <c r="M9" s="21" t="str">
        <f t="shared" si="3"/>
        <v>G2</v>
      </c>
      <c r="N9" s="13" t="str">
        <f t="shared" si="4"/>
        <v>✓ concordant</v>
      </c>
      <c r="O9" s="33">
        <v>0.95</v>
      </c>
      <c r="P9" s="34">
        <f t="shared" si="5"/>
        <v>20.52</v>
      </c>
    </row>
    <row r="10" spans="1:16" ht="15" customHeight="1" x14ac:dyDescent="0.2">
      <c r="A10" s="17" t="s">
        <v>31</v>
      </c>
      <c r="B10" s="18" t="s">
        <v>28</v>
      </c>
      <c r="C10" s="13">
        <v>1.8</v>
      </c>
      <c r="D10" s="13">
        <v>63</v>
      </c>
      <c r="E10" s="27">
        <v>15</v>
      </c>
      <c r="F10" s="28">
        <v>14</v>
      </c>
      <c r="G10" s="29">
        <v>7</v>
      </c>
      <c r="H10" s="30">
        <v>1.2</v>
      </c>
      <c r="I10" s="31">
        <v>0</v>
      </c>
      <c r="J10" s="20">
        <f t="shared" si="0"/>
        <v>0.68799999999999994</v>
      </c>
      <c r="K10" s="32">
        <f t="shared" si="1"/>
        <v>8.1999999999999993</v>
      </c>
      <c r="L10" s="15">
        <f t="shared" si="2"/>
        <v>21.6</v>
      </c>
      <c r="M10" s="21" t="str">
        <f t="shared" si="3"/>
        <v>G2</v>
      </c>
      <c r="N10" s="13" t="str">
        <f t="shared" si="4"/>
        <v>⚠ à vérifier</v>
      </c>
      <c r="O10" s="33">
        <v>0.95</v>
      </c>
      <c r="P10" s="34">
        <f t="shared" si="5"/>
        <v>20.52</v>
      </c>
    </row>
    <row r="11" spans="1:16" ht="15" customHeight="1" x14ac:dyDescent="0.2">
      <c r="A11" s="17" t="s">
        <v>68</v>
      </c>
      <c r="B11" s="18" t="s">
        <v>38</v>
      </c>
      <c r="C11" s="13">
        <v>1</v>
      </c>
      <c r="D11" s="13">
        <v>64</v>
      </c>
      <c r="E11" s="27">
        <v>22</v>
      </c>
      <c r="F11" s="28">
        <v>12</v>
      </c>
      <c r="G11" s="29">
        <v>2</v>
      </c>
      <c r="H11" s="30">
        <v>0</v>
      </c>
      <c r="I11" s="31">
        <v>0</v>
      </c>
      <c r="J11" s="20">
        <f t="shared" si="0"/>
        <v>0.52</v>
      </c>
      <c r="K11" s="32">
        <f t="shared" si="1"/>
        <v>2</v>
      </c>
      <c r="L11" s="15">
        <f t="shared" si="2"/>
        <v>12</v>
      </c>
      <c r="M11" s="21" t="str">
        <f t="shared" si="3"/>
        <v>G1-2</v>
      </c>
      <c r="N11" s="13" t="str">
        <f t="shared" si="4"/>
        <v>✓ concordant</v>
      </c>
      <c r="O11" s="33">
        <v>1.05</v>
      </c>
      <c r="P11" s="34">
        <f t="shared" si="5"/>
        <v>12.600000000000001</v>
      </c>
    </row>
    <row r="12" spans="1:16" ht="15" customHeight="1" x14ac:dyDescent="0.2">
      <c r="A12" s="17" t="s">
        <v>45</v>
      </c>
      <c r="B12" s="18" t="s">
        <v>36</v>
      </c>
      <c r="C12" s="13">
        <v>1</v>
      </c>
      <c r="D12" s="13">
        <v>66</v>
      </c>
      <c r="E12" s="27">
        <v>20</v>
      </c>
      <c r="F12" s="28">
        <v>12</v>
      </c>
      <c r="G12" s="29">
        <v>2</v>
      </c>
      <c r="H12" s="30">
        <v>0</v>
      </c>
      <c r="I12" s="31">
        <v>0</v>
      </c>
      <c r="J12" s="20">
        <f t="shared" si="0"/>
        <v>0.5</v>
      </c>
      <c r="K12" s="32">
        <f t="shared" si="1"/>
        <v>2</v>
      </c>
      <c r="L12" s="15">
        <f t="shared" si="2"/>
        <v>12</v>
      </c>
      <c r="M12" s="21" t="str">
        <f t="shared" si="3"/>
        <v>G1-2</v>
      </c>
      <c r="N12" s="13" t="str">
        <f t="shared" si="4"/>
        <v>✓ concordant</v>
      </c>
      <c r="O12" s="33">
        <v>0.67</v>
      </c>
      <c r="P12" s="34">
        <f t="shared" si="5"/>
        <v>8.0400000000000009</v>
      </c>
    </row>
    <row r="13" spans="1:16" ht="15" customHeight="1" x14ac:dyDescent="0.2">
      <c r="A13" s="17" t="s">
        <v>62</v>
      </c>
      <c r="B13" s="18" t="s">
        <v>61</v>
      </c>
      <c r="C13" s="13">
        <v>1.3</v>
      </c>
      <c r="D13" s="13">
        <v>62</v>
      </c>
      <c r="E13" s="27">
        <v>38</v>
      </c>
      <c r="F13" s="28">
        <v>0</v>
      </c>
      <c r="G13" s="29">
        <v>0</v>
      </c>
      <c r="H13" s="30">
        <v>0</v>
      </c>
      <c r="I13" s="31">
        <v>0</v>
      </c>
      <c r="J13" s="20">
        <f t="shared" si="0"/>
        <v>0.38</v>
      </c>
      <c r="K13" s="32">
        <f t="shared" si="1"/>
        <v>0</v>
      </c>
      <c r="L13" s="15">
        <f t="shared" si="2"/>
        <v>15.600000000000001</v>
      </c>
      <c r="M13" s="21" t="str">
        <f t="shared" si="3"/>
        <v>G1-2</v>
      </c>
      <c r="N13" s="13" t="str">
        <f t="shared" si="4"/>
        <v>✓ concordant</v>
      </c>
      <c r="O13" s="33">
        <v>1</v>
      </c>
      <c r="P13" s="34">
        <f t="shared" si="5"/>
        <v>15.600000000000001</v>
      </c>
    </row>
    <row r="14" spans="1:16" ht="15" customHeight="1" x14ac:dyDescent="0.2">
      <c r="A14" s="17" t="s">
        <v>69</v>
      </c>
      <c r="B14" s="18" t="s">
        <v>49</v>
      </c>
      <c r="C14" s="13">
        <v>1.5</v>
      </c>
      <c r="D14" s="13">
        <v>84.8</v>
      </c>
      <c r="E14" s="27">
        <v>7</v>
      </c>
      <c r="F14" s="28">
        <v>4.7</v>
      </c>
      <c r="G14" s="29">
        <v>2.2999999999999998</v>
      </c>
      <c r="H14" s="30">
        <v>0.8</v>
      </c>
      <c r="I14" s="31">
        <v>0.4</v>
      </c>
      <c r="J14" s="20">
        <f t="shared" si="0"/>
        <v>0.28499999999999998</v>
      </c>
      <c r="K14" s="32">
        <f t="shared" si="1"/>
        <v>3.4999999999999996</v>
      </c>
      <c r="L14" s="15">
        <f t="shared" si="2"/>
        <v>18</v>
      </c>
      <c r="M14" s="21" t="str">
        <f t="shared" si="3"/>
        <v>G2</v>
      </c>
      <c r="N14" s="13" t="str">
        <f t="shared" si="4"/>
        <v>⚠ à vérifier</v>
      </c>
      <c r="O14" s="33">
        <v>0.31</v>
      </c>
      <c r="P14" s="34">
        <f t="shared" si="5"/>
        <v>5.58</v>
      </c>
    </row>
    <row r="15" spans="1:16" ht="15" customHeight="1" x14ac:dyDescent="0.2">
      <c r="A15" s="17" t="s">
        <v>27</v>
      </c>
      <c r="B15" s="18" t="s">
        <v>28</v>
      </c>
      <c r="C15" s="13">
        <v>1.8</v>
      </c>
      <c r="D15" s="13">
        <v>76</v>
      </c>
      <c r="E15" s="27">
        <v>10</v>
      </c>
      <c r="F15" s="28">
        <v>8</v>
      </c>
      <c r="G15" s="29">
        <v>4</v>
      </c>
      <c r="H15" s="30">
        <v>2</v>
      </c>
      <c r="I15" s="31">
        <v>0</v>
      </c>
      <c r="J15" s="20">
        <f t="shared" si="0"/>
        <v>0.46</v>
      </c>
      <c r="K15" s="32">
        <f t="shared" si="1"/>
        <v>6</v>
      </c>
      <c r="L15" s="15">
        <f t="shared" si="2"/>
        <v>21.6</v>
      </c>
      <c r="M15" s="21" t="str">
        <f t="shared" si="3"/>
        <v>G2</v>
      </c>
      <c r="N15" s="13" t="str">
        <f t="shared" si="4"/>
        <v>⚠ à vérifier</v>
      </c>
      <c r="O15" s="33">
        <v>0.95</v>
      </c>
      <c r="P15" s="34">
        <f t="shared" si="5"/>
        <v>20.52</v>
      </c>
    </row>
    <row r="16" spans="1:16" ht="15" customHeight="1" x14ac:dyDescent="0.2">
      <c r="A16" s="17" t="s">
        <v>46</v>
      </c>
      <c r="B16" s="18" t="s">
        <v>38</v>
      </c>
      <c r="C16" s="13">
        <v>1</v>
      </c>
      <c r="D16" s="13">
        <v>71</v>
      </c>
      <c r="E16" s="27">
        <v>18</v>
      </c>
      <c r="F16" s="28">
        <v>9</v>
      </c>
      <c r="G16" s="29">
        <v>2</v>
      </c>
      <c r="H16" s="30">
        <v>0</v>
      </c>
      <c r="I16" s="31">
        <v>0</v>
      </c>
      <c r="J16" s="20">
        <f t="shared" si="0"/>
        <v>0.42</v>
      </c>
      <c r="K16" s="32">
        <f t="shared" si="1"/>
        <v>2</v>
      </c>
      <c r="L16" s="15">
        <f t="shared" si="2"/>
        <v>12</v>
      </c>
      <c r="M16" s="21" t="str">
        <f t="shared" si="3"/>
        <v>G1-2</v>
      </c>
      <c r="N16" s="13" t="str">
        <f t="shared" si="4"/>
        <v>✓ concordant</v>
      </c>
      <c r="O16" s="33">
        <v>1.05</v>
      </c>
      <c r="P16" s="34">
        <f t="shared" si="5"/>
        <v>12.600000000000001</v>
      </c>
    </row>
    <row r="17" spans="1:16" ht="15" customHeight="1" x14ac:dyDescent="0.2">
      <c r="A17" s="17" t="s">
        <v>70</v>
      </c>
      <c r="B17" s="18" t="s">
        <v>38</v>
      </c>
      <c r="C17" s="13">
        <v>1</v>
      </c>
      <c r="D17" s="13">
        <v>80</v>
      </c>
      <c r="E17" s="27">
        <v>12</v>
      </c>
      <c r="F17" s="28">
        <v>6</v>
      </c>
      <c r="G17" s="29">
        <v>2</v>
      </c>
      <c r="H17" s="30">
        <v>0</v>
      </c>
      <c r="I17" s="31">
        <v>0</v>
      </c>
      <c r="J17" s="20">
        <f t="shared" si="0"/>
        <v>0.3</v>
      </c>
      <c r="K17" s="32">
        <f t="shared" si="1"/>
        <v>2</v>
      </c>
      <c r="L17" s="15">
        <f t="shared" si="2"/>
        <v>12</v>
      </c>
      <c r="M17" s="21" t="str">
        <f t="shared" si="3"/>
        <v>G1-2</v>
      </c>
      <c r="N17" s="13" t="str">
        <f t="shared" si="4"/>
        <v>✓ concordant</v>
      </c>
      <c r="O17" s="33">
        <v>1.05</v>
      </c>
      <c r="P17" s="34">
        <f t="shared" si="5"/>
        <v>12.600000000000001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5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148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5*2.5+1*2.5+1*1.5+1.5*2+0.5*2.5+0.5*1</f>
        <v>21.25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30</v>
      </c>
      <c r="B8" s="18" t="s">
        <v>28</v>
      </c>
      <c r="C8" s="13">
        <v>1.8</v>
      </c>
      <c r="D8" s="13">
        <v>37</v>
      </c>
      <c r="E8" s="27">
        <v>5</v>
      </c>
      <c r="F8" s="28">
        <v>7</v>
      </c>
      <c r="G8" s="29">
        <v>34</v>
      </c>
      <c r="H8" s="30">
        <v>17</v>
      </c>
      <c r="I8" s="31">
        <v>0</v>
      </c>
      <c r="J8" s="20">
        <f t="shared" ref="J8:J15" si="0">(E8*1+F8*2+G8*3+H8*4+I8*5)/100</f>
        <v>1.89</v>
      </c>
      <c r="K8" s="32">
        <f t="shared" ref="K8:K15" si="1">G8+H8+I8</f>
        <v>51</v>
      </c>
      <c r="L8" s="15">
        <f t="shared" ref="L8:L15" si="2">$C$5*C8</f>
        <v>38.25</v>
      </c>
      <c r="M8" s="21" t="str">
        <f t="shared" ref="M8:M15" si="3">IF(L8&lt;12,"G1",IF(L8&lt;18,"G1-2",IF(L8&lt;25,"G2",IF(L8&lt;35,"G2-3",IF(L8&lt;45,"G3","G3-4")))))</f>
        <v>G3</v>
      </c>
      <c r="N8" s="13" t="str">
        <f t="shared" ref="N8:N15" si="4">IF(AND(K8&lt;10,L8&lt;18),"✓ concordant",IF(AND(K8&gt;=10,K8&lt;30,L8&gt;=12,L8&lt;35),"✓ concordant",IF(AND(K8&gt;=30,L8&gt;=25),"✓ concordant","⚠ à vérifier")))</f>
        <v>✓ concordant</v>
      </c>
      <c r="O8" s="33">
        <v>1.21</v>
      </c>
      <c r="P8" s="34">
        <f t="shared" ref="P8:P15" si="5">L8*O8</f>
        <v>46.282499999999999</v>
      </c>
    </row>
    <row r="9" spans="1:16" ht="15" customHeight="1" x14ac:dyDescent="0.2">
      <c r="A9" s="17" t="s">
        <v>46</v>
      </c>
      <c r="B9" s="18" t="s">
        <v>38</v>
      </c>
      <c r="C9" s="13">
        <v>1</v>
      </c>
      <c r="D9" s="13">
        <v>41</v>
      </c>
      <c r="E9" s="27">
        <v>30</v>
      </c>
      <c r="F9" s="28">
        <v>19</v>
      </c>
      <c r="G9" s="29">
        <v>10</v>
      </c>
      <c r="H9" s="30">
        <v>0</v>
      </c>
      <c r="I9" s="31">
        <v>0</v>
      </c>
      <c r="J9" s="20">
        <f t="shared" si="0"/>
        <v>0.98</v>
      </c>
      <c r="K9" s="32">
        <f t="shared" si="1"/>
        <v>10</v>
      </c>
      <c r="L9" s="15">
        <f t="shared" si="2"/>
        <v>21.25</v>
      </c>
      <c r="M9" s="21" t="str">
        <f t="shared" si="3"/>
        <v>G2</v>
      </c>
      <c r="N9" s="13" t="str">
        <f t="shared" si="4"/>
        <v>✓ concordant</v>
      </c>
      <c r="O9" s="33">
        <v>1.2</v>
      </c>
      <c r="P9" s="34">
        <f t="shared" si="5"/>
        <v>25.5</v>
      </c>
    </row>
    <row r="10" spans="1:16" ht="15" customHeight="1" x14ac:dyDescent="0.2">
      <c r="A10" s="17" t="s">
        <v>37</v>
      </c>
      <c r="B10" s="18" t="s">
        <v>38</v>
      </c>
      <c r="C10" s="13">
        <v>1</v>
      </c>
      <c r="D10" s="13">
        <v>43</v>
      </c>
      <c r="E10" s="27">
        <v>35</v>
      </c>
      <c r="F10" s="28">
        <v>19</v>
      </c>
      <c r="G10" s="29">
        <v>3</v>
      </c>
      <c r="H10" s="30">
        <v>0</v>
      </c>
      <c r="I10" s="31">
        <v>0</v>
      </c>
      <c r="J10" s="20">
        <f t="shared" si="0"/>
        <v>0.82</v>
      </c>
      <c r="K10" s="32">
        <f t="shared" si="1"/>
        <v>3</v>
      </c>
      <c r="L10" s="15">
        <f t="shared" si="2"/>
        <v>21.25</v>
      </c>
      <c r="M10" s="21" t="str">
        <f t="shared" si="3"/>
        <v>G2</v>
      </c>
      <c r="N10" s="13" t="str">
        <f t="shared" si="4"/>
        <v>⚠ à vérifier</v>
      </c>
      <c r="O10" s="33">
        <v>1.2</v>
      </c>
      <c r="P10" s="34">
        <f t="shared" si="5"/>
        <v>25.5</v>
      </c>
    </row>
    <row r="11" spans="1:16" ht="15" customHeight="1" x14ac:dyDescent="0.2">
      <c r="A11" s="17" t="s">
        <v>62</v>
      </c>
      <c r="B11" s="18" t="s">
        <v>61</v>
      </c>
      <c r="C11" s="13">
        <v>1.3</v>
      </c>
      <c r="D11" s="13">
        <v>54</v>
      </c>
      <c r="E11" s="27">
        <v>46</v>
      </c>
      <c r="F11" s="28">
        <v>0</v>
      </c>
      <c r="G11" s="29">
        <v>0</v>
      </c>
      <c r="H11" s="30">
        <v>0</v>
      </c>
      <c r="I11" s="31">
        <v>0</v>
      </c>
      <c r="J11" s="20">
        <f t="shared" si="0"/>
        <v>0.46</v>
      </c>
      <c r="K11" s="32">
        <f t="shared" si="1"/>
        <v>0</v>
      </c>
      <c r="L11" s="15">
        <f t="shared" si="2"/>
        <v>27.625</v>
      </c>
      <c r="M11" s="21" t="str">
        <f t="shared" si="3"/>
        <v>G2-3</v>
      </c>
      <c r="N11" s="13" t="str">
        <f t="shared" si="4"/>
        <v>⚠ à vérifier</v>
      </c>
      <c r="O11" s="33">
        <v>1</v>
      </c>
      <c r="P11" s="34">
        <f t="shared" si="5"/>
        <v>27.625</v>
      </c>
    </row>
    <row r="12" spans="1:16" ht="15" customHeight="1" x14ac:dyDescent="0.2">
      <c r="A12" s="17" t="s">
        <v>31</v>
      </c>
      <c r="B12" s="18" t="s">
        <v>28</v>
      </c>
      <c r="C12" s="13">
        <v>1.8</v>
      </c>
      <c r="D12" s="13">
        <v>66</v>
      </c>
      <c r="E12" s="27">
        <v>12</v>
      </c>
      <c r="F12" s="28">
        <v>14</v>
      </c>
      <c r="G12" s="29">
        <v>7</v>
      </c>
      <c r="H12" s="30">
        <v>1</v>
      </c>
      <c r="I12" s="31">
        <v>0</v>
      </c>
      <c r="J12" s="20">
        <f t="shared" si="0"/>
        <v>0.65</v>
      </c>
      <c r="K12" s="32">
        <f t="shared" si="1"/>
        <v>8</v>
      </c>
      <c r="L12" s="15">
        <f t="shared" si="2"/>
        <v>38.25</v>
      </c>
      <c r="M12" s="21" t="str">
        <f t="shared" si="3"/>
        <v>G3</v>
      </c>
      <c r="N12" s="13" t="str">
        <f t="shared" si="4"/>
        <v>⚠ à vérifier</v>
      </c>
      <c r="O12" s="33">
        <v>1.21</v>
      </c>
      <c r="P12" s="34">
        <f t="shared" si="5"/>
        <v>46.282499999999999</v>
      </c>
    </row>
    <row r="13" spans="1:16" ht="15" customHeight="1" x14ac:dyDescent="0.2">
      <c r="A13" s="17" t="s">
        <v>45</v>
      </c>
      <c r="B13" s="18" t="s">
        <v>36</v>
      </c>
      <c r="C13" s="13">
        <v>1</v>
      </c>
      <c r="D13" s="13">
        <v>55</v>
      </c>
      <c r="E13" s="27">
        <v>25</v>
      </c>
      <c r="F13" s="28">
        <v>15</v>
      </c>
      <c r="G13" s="29">
        <v>5</v>
      </c>
      <c r="H13" s="30">
        <v>0</v>
      </c>
      <c r="I13" s="31">
        <v>0</v>
      </c>
      <c r="J13" s="20">
        <f t="shared" si="0"/>
        <v>0.7</v>
      </c>
      <c r="K13" s="32">
        <f t="shared" si="1"/>
        <v>5</v>
      </c>
      <c r="L13" s="15">
        <f t="shared" si="2"/>
        <v>21.25</v>
      </c>
      <c r="M13" s="21" t="str">
        <f t="shared" si="3"/>
        <v>G2</v>
      </c>
      <c r="N13" s="13" t="str">
        <f t="shared" si="4"/>
        <v>⚠ à vérifier</v>
      </c>
      <c r="O13" s="33">
        <v>0.93</v>
      </c>
      <c r="P13" s="34">
        <f t="shared" si="5"/>
        <v>19.762499999999999</v>
      </c>
    </row>
    <row r="14" spans="1:16" ht="15" customHeight="1" x14ac:dyDescent="0.2">
      <c r="A14" s="17" t="s">
        <v>47</v>
      </c>
      <c r="B14" s="18" t="s">
        <v>28</v>
      </c>
      <c r="C14" s="13">
        <v>1.8</v>
      </c>
      <c r="D14" s="13">
        <v>94</v>
      </c>
      <c r="E14" s="27">
        <v>0</v>
      </c>
      <c r="F14" s="28">
        <v>0</v>
      </c>
      <c r="G14" s="29">
        <v>5</v>
      </c>
      <c r="H14" s="30">
        <v>1</v>
      </c>
      <c r="I14" s="31">
        <v>0</v>
      </c>
      <c r="J14" s="20">
        <f t="shared" si="0"/>
        <v>0.19</v>
      </c>
      <c r="K14" s="32">
        <f t="shared" si="1"/>
        <v>6</v>
      </c>
      <c r="L14" s="15">
        <f t="shared" si="2"/>
        <v>38.25</v>
      </c>
      <c r="M14" s="21" t="str">
        <f t="shared" si="3"/>
        <v>G3</v>
      </c>
      <c r="N14" s="13" t="str">
        <f t="shared" si="4"/>
        <v>⚠ à vérifier</v>
      </c>
      <c r="O14" s="33">
        <v>1.21</v>
      </c>
      <c r="P14" s="34">
        <f t="shared" si="5"/>
        <v>46.282499999999999</v>
      </c>
    </row>
    <row r="15" spans="1:16" ht="15" customHeight="1" x14ac:dyDescent="0.2">
      <c r="A15" s="17" t="s">
        <v>68</v>
      </c>
      <c r="B15" s="18" t="s">
        <v>38</v>
      </c>
      <c r="C15" s="13">
        <v>1</v>
      </c>
      <c r="D15" s="13">
        <v>69</v>
      </c>
      <c r="E15" s="27">
        <v>18</v>
      </c>
      <c r="F15" s="28">
        <v>10</v>
      </c>
      <c r="G15" s="29">
        <v>3</v>
      </c>
      <c r="H15" s="30">
        <v>0</v>
      </c>
      <c r="I15" s="31">
        <v>0</v>
      </c>
      <c r="J15" s="20">
        <f t="shared" si="0"/>
        <v>0.47</v>
      </c>
      <c r="K15" s="32">
        <f t="shared" si="1"/>
        <v>3</v>
      </c>
      <c r="L15" s="15">
        <f t="shared" si="2"/>
        <v>21.25</v>
      </c>
      <c r="M15" s="21" t="str">
        <f t="shared" si="3"/>
        <v>G2</v>
      </c>
      <c r="N15" s="13" t="str">
        <f t="shared" si="4"/>
        <v>⚠ à vérifier</v>
      </c>
      <c r="O15" s="33">
        <v>1.2</v>
      </c>
      <c r="P15" s="34">
        <f t="shared" si="5"/>
        <v>25.5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149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151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5*2+1*2+1*1.5+1.5*0.5+0.5*0.5+0.5*2</f>
        <v>15.5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74</v>
      </c>
      <c r="B8" s="18" t="s">
        <v>75</v>
      </c>
      <c r="C8" s="13">
        <v>1.6</v>
      </c>
      <c r="D8" s="13">
        <v>28</v>
      </c>
      <c r="E8" s="27">
        <v>25</v>
      </c>
      <c r="F8" s="28">
        <v>20</v>
      </c>
      <c r="G8" s="29">
        <v>22</v>
      </c>
      <c r="H8" s="30">
        <v>5</v>
      </c>
      <c r="I8" s="31">
        <v>0</v>
      </c>
      <c r="J8" s="20">
        <f t="shared" ref="J8:J14" si="0">(E8*1+F8*2+G8*3+H8*4+I8*5)/100</f>
        <v>1.51</v>
      </c>
      <c r="K8" s="32">
        <f t="shared" ref="K8:K14" si="1">G8+H8+I8</f>
        <v>27</v>
      </c>
      <c r="L8" s="15">
        <f t="shared" ref="L8:L14" si="2">$C$5*C8</f>
        <v>24.8</v>
      </c>
      <c r="M8" s="21" t="str">
        <f t="shared" ref="M8:M14" si="3">IF(L8&lt;12,"G1",IF(L8&lt;18,"G1-2",IF(L8&lt;25,"G2",IF(L8&lt;35,"G2-3",IF(L8&lt;45,"G3","G3-4")))))</f>
        <v>G2</v>
      </c>
      <c r="N8" s="13" t="str">
        <f t="shared" ref="N8:N14" si="4">IF(AND(K8&lt;10,L8&lt;18),"✓ concordant",IF(AND(K8&gt;=10,K8&lt;30,L8&gt;=12,L8&lt;35),"✓ concordant",IF(AND(K8&gt;=30,L8&gt;=25),"✓ concordant","⚠ à vérifier")))</f>
        <v>✓ concordant</v>
      </c>
      <c r="O8" s="33">
        <v>1.54</v>
      </c>
      <c r="P8" s="34">
        <f t="shared" ref="P8:P14" si="5">L8*O8</f>
        <v>38.192</v>
      </c>
    </row>
    <row r="9" spans="1:16" ht="15" customHeight="1" x14ac:dyDescent="0.2">
      <c r="A9" s="17" t="s">
        <v>27</v>
      </c>
      <c r="B9" s="18" t="s">
        <v>28</v>
      </c>
      <c r="C9" s="13">
        <v>1.8</v>
      </c>
      <c r="D9" s="13">
        <v>42</v>
      </c>
      <c r="E9" s="27">
        <v>18</v>
      </c>
      <c r="F9" s="28">
        <v>20</v>
      </c>
      <c r="G9" s="29">
        <v>12</v>
      </c>
      <c r="H9" s="30">
        <v>8</v>
      </c>
      <c r="I9" s="31">
        <v>0</v>
      </c>
      <c r="J9" s="20">
        <f t="shared" si="0"/>
        <v>1.26</v>
      </c>
      <c r="K9" s="32">
        <f t="shared" si="1"/>
        <v>20</v>
      </c>
      <c r="L9" s="15">
        <f t="shared" si="2"/>
        <v>27.900000000000002</v>
      </c>
      <c r="M9" s="21" t="str">
        <f t="shared" si="3"/>
        <v>G2-3</v>
      </c>
      <c r="N9" s="13" t="str">
        <f t="shared" si="4"/>
        <v>✓ concordant</v>
      </c>
      <c r="O9" s="33">
        <v>1.4</v>
      </c>
      <c r="P9" s="34">
        <f t="shared" si="5"/>
        <v>39.06</v>
      </c>
    </row>
    <row r="10" spans="1:16" ht="15" customHeight="1" x14ac:dyDescent="0.2">
      <c r="A10" s="17" t="s">
        <v>77</v>
      </c>
      <c r="B10" s="18" t="s">
        <v>75</v>
      </c>
      <c r="C10" s="13">
        <v>1.6</v>
      </c>
      <c r="D10" s="13">
        <v>47</v>
      </c>
      <c r="E10" s="27">
        <v>30</v>
      </c>
      <c r="F10" s="28">
        <v>19</v>
      </c>
      <c r="G10" s="29">
        <v>4</v>
      </c>
      <c r="H10" s="30">
        <v>0</v>
      </c>
      <c r="I10" s="31">
        <v>0</v>
      </c>
      <c r="J10" s="20">
        <f t="shared" si="0"/>
        <v>0.8</v>
      </c>
      <c r="K10" s="32">
        <f t="shared" si="1"/>
        <v>4</v>
      </c>
      <c r="L10" s="15">
        <f t="shared" si="2"/>
        <v>24.8</v>
      </c>
      <c r="M10" s="21" t="str">
        <f t="shared" si="3"/>
        <v>G2</v>
      </c>
      <c r="N10" s="13" t="str">
        <f t="shared" si="4"/>
        <v>⚠ à vérifier</v>
      </c>
      <c r="O10" s="33">
        <v>1.54</v>
      </c>
      <c r="P10" s="34">
        <f t="shared" si="5"/>
        <v>38.192</v>
      </c>
    </row>
    <row r="11" spans="1:16" ht="15" customHeight="1" x14ac:dyDescent="0.2">
      <c r="A11" s="17" t="s">
        <v>31</v>
      </c>
      <c r="B11" s="18" t="s">
        <v>28</v>
      </c>
      <c r="C11" s="13">
        <v>1.8</v>
      </c>
      <c r="D11" s="13">
        <v>65</v>
      </c>
      <c r="E11" s="27">
        <v>10</v>
      </c>
      <c r="F11" s="28">
        <v>5</v>
      </c>
      <c r="G11" s="29">
        <v>15</v>
      </c>
      <c r="H11" s="30">
        <v>5</v>
      </c>
      <c r="I11" s="31">
        <v>0</v>
      </c>
      <c r="J11" s="20">
        <f t="shared" si="0"/>
        <v>0.85</v>
      </c>
      <c r="K11" s="32">
        <f t="shared" si="1"/>
        <v>20</v>
      </c>
      <c r="L11" s="15">
        <f t="shared" si="2"/>
        <v>27.900000000000002</v>
      </c>
      <c r="M11" s="21" t="str">
        <f t="shared" si="3"/>
        <v>G2-3</v>
      </c>
      <c r="N11" s="13" t="str">
        <f t="shared" si="4"/>
        <v>✓ concordant</v>
      </c>
      <c r="O11" s="33">
        <v>1.4</v>
      </c>
      <c r="P11" s="34">
        <f t="shared" si="5"/>
        <v>39.06</v>
      </c>
    </row>
    <row r="12" spans="1:16" ht="15" customHeight="1" x14ac:dyDescent="0.2">
      <c r="A12" s="17" t="s">
        <v>37</v>
      </c>
      <c r="B12" s="18" t="s">
        <v>38</v>
      </c>
      <c r="C12" s="13">
        <v>1</v>
      </c>
      <c r="D12" s="13">
        <v>76</v>
      </c>
      <c r="E12" s="27">
        <v>15</v>
      </c>
      <c r="F12" s="28">
        <v>7</v>
      </c>
      <c r="G12" s="29">
        <v>2</v>
      </c>
      <c r="H12" s="30">
        <v>0</v>
      </c>
      <c r="I12" s="31">
        <v>0</v>
      </c>
      <c r="J12" s="20">
        <f t="shared" si="0"/>
        <v>0.35</v>
      </c>
      <c r="K12" s="32">
        <f t="shared" si="1"/>
        <v>2</v>
      </c>
      <c r="L12" s="15">
        <f t="shared" si="2"/>
        <v>15.5</v>
      </c>
      <c r="M12" s="21" t="str">
        <f t="shared" si="3"/>
        <v>G1-2</v>
      </c>
      <c r="N12" s="13" t="str">
        <f t="shared" si="4"/>
        <v>✓ concordant</v>
      </c>
      <c r="O12" s="33">
        <v>1</v>
      </c>
      <c r="P12" s="34">
        <f t="shared" si="5"/>
        <v>15.5</v>
      </c>
    </row>
    <row r="13" spans="1:16" ht="15" customHeight="1" x14ac:dyDescent="0.2">
      <c r="A13" s="17" t="s">
        <v>78</v>
      </c>
      <c r="B13" s="18" t="s">
        <v>75</v>
      </c>
      <c r="C13" s="13">
        <v>1.6</v>
      </c>
      <c r="D13" s="13">
        <v>78</v>
      </c>
      <c r="E13" s="27">
        <v>15</v>
      </c>
      <c r="F13" s="28">
        <v>6</v>
      </c>
      <c r="G13" s="29">
        <v>1</v>
      </c>
      <c r="H13" s="30">
        <v>0</v>
      </c>
      <c r="I13" s="31">
        <v>0</v>
      </c>
      <c r="J13" s="20">
        <f t="shared" si="0"/>
        <v>0.3</v>
      </c>
      <c r="K13" s="32">
        <f t="shared" si="1"/>
        <v>1</v>
      </c>
      <c r="L13" s="15">
        <f t="shared" si="2"/>
        <v>24.8</v>
      </c>
      <c r="M13" s="21" t="str">
        <f t="shared" si="3"/>
        <v>G2</v>
      </c>
      <c r="N13" s="13" t="str">
        <f t="shared" si="4"/>
        <v>⚠ à vérifier</v>
      </c>
      <c r="O13" s="33">
        <v>1.54</v>
      </c>
      <c r="P13" s="34">
        <f t="shared" si="5"/>
        <v>38.192</v>
      </c>
    </row>
    <row r="14" spans="1:16" ht="15" customHeight="1" x14ac:dyDescent="0.2">
      <c r="A14" s="17" t="s">
        <v>45</v>
      </c>
      <c r="B14" s="18" t="s">
        <v>36</v>
      </c>
      <c r="C14" s="13">
        <v>1</v>
      </c>
      <c r="D14" s="13">
        <v>73</v>
      </c>
      <c r="E14" s="27">
        <v>16</v>
      </c>
      <c r="F14" s="28">
        <v>9</v>
      </c>
      <c r="G14" s="29">
        <v>2</v>
      </c>
      <c r="H14" s="30">
        <v>0</v>
      </c>
      <c r="I14" s="31">
        <v>0</v>
      </c>
      <c r="J14" s="20">
        <f t="shared" si="0"/>
        <v>0.4</v>
      </c>
      <c r="K14" s="32">
        <f t="shared" si="1"/>
        <v>2</v>
      </c>
      <c r="L14" s="15">
        <f t="shared" si="2"/>
        <v>15.5</v>
      </c>
      <c r="M14" s="21" t="str">
        <f t="shared" si="3"/>
        <v>G1-2</v>
      </c>
      <c r="N14" s="13" t="str">
        <f t="shared" si="4"/>
        <v>✓ concordant</v>
      </c>
      <c r="O14" s="33">
        <v>0.53</v>
      </c>
      <c r="P14" s="34">
        <f t="shared" si="5"/>
        <v>8.2149999999999999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5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153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155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156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5*2.5+1*0.5+1*0.5+1.5*1.5+0.5*1.5+0.5*1.5</f>
        <v>17.25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80</v>
      </c>
      <c r="B8" s="18" t="s">
        <v>33</v>
      </c>
      <c r="C8" s="13">
        <v>1.2</v>
      </c>
      <c r="D8" s="13">
        <v>64</v>
      </c>
      <c r="E8" s="27">
        <v>10</v>
      </c>
      <c r="F8" s="28">
        <v>9</v>
      </c>
      <c r="G8" s="29">
        <v>12</v>
      </c>
      <c r="H8" s="30">
        <v>5</v>
      </c>
      <c r="I8" s="31">
        <v>0</v>
      </c>
      <c r="J8" s="20">
        <f t="shared" ref="J8:J15" si="0">(E8*1+F8*2+G8*3+H8*4+I8*5)/100</f>
        <v>0.84</v>
      </c>
      <c r="K8" s="32">
        <f t="shared" ref="K8:K15" si="1">G8+H8+I8</f>
        <v>17</v>
      </c>
      <c r="L8" s="15">
        <f t="shared" ref="L8:L15" si="2">$C$5*C8</f>
        <v>20.7</v>
      </c>
      <c r="M8" s="21" t="str">
        <f t="shared" ref="M8:M15" si="3">IF(L8&lt;12,"G1",IF(L8&lt;18,"G1-2",IF(L8&lt;25,"G2",IF(L8&lt;35,"G2-3",IF(L8&lt;45,"G3","G3-4")))))</f>
        <v>G2</v>
      </c>
      <c r="N8" s="13" t="str">
        <f t="shared" ref="N8:N15" si="4">IF(AND(K8&lt;10,L8&lt;18),"✓ concordant",IF(AND(K8&gt;=10,K8&lt;30,L8&gt;=12,L8&lt;35),"✓ concordant",IF(AND(K8&gt;=30,L8&gt;=25),"✓ concordant","⚠ à vérifier")))</f>
        <v>✓ concordant</v>
      </c>
      <c r="O8" s="33">
        <v>1.1200000000000001</v>
      </c>
      <c r="P8" s="34">
        <f t="shared" ref="P8:P15" si="5">L8*O8</f>
        <v>23.184000000000001</v>
      </c>
    </row>
    <row r="9" spans="1:16" ht="15" customHeight="1" x14ac:dyDescent="0.2">
      <c r="A9" s="17" t="s">
        <v>30</v>
      </c>
      <c r="B9" s="18" t="s">
        <v>28</v>
      </c>
      <c r="C9" s="13">
        <v>1.8</v>
      </c>
      <c r="D9" s="13">
        <v>68</v>
      </c>
      <c r="E9" s="27">
        <v>3</v>
      </c>
      <c r="F9" s="28">
        <v>3</v>
      </c>
      <c r="G9" s="29">
        <v>16</v>
      </c>
      <c r="H9" s="30">
        <v>10</v>
      </c>
      <c r="I9" s="31">
        <v>0</v>
      </c>
      <c r="J9" s="20">
        <f t="shared" si="0"/>
        <v>0.97</v>
      </c>
      <c r="K9" s="32">
        <f t="shared" si="1"/>
        <v>26</v>
      </c>
      <c r="L9" s="15">
        <f t="shared" si="2"/>
        <v>31.05</v>
      </c>
      <c r="M9" s="21" t="str">
        <f t="shared" si="3"/>
        <v>G2-3</v>
      </c>
      <c r="N9" s="13" t="str">
        <f t="shared" si="4"/>
        <v>✓ concordant</v>
      </c>
      <c r="O9" s="33">
        <v>1.1399999999999999</v>
      </c>
      <c r="P9" s="34">
        <f t="shared" si="5"/>
        <v>35.396999999999998</v>
      </c>
    </row>
    <row r="10" spans="1:16" ht="15" customHeight="1" x14ac:dyDescent="0.2">
      <c r="A10" s="17" t="s">
        <v>27</v>
      </c>
      <c r="B10" s="18" t="s">
        <v>28</v>
      </c>
      <c r="C10" s="13">
        <v>1.8</v>
      </c>
      <c r="D10" s="13">
        <v>74</v>
      </c>
      <c r="E10" s="27">
        <v>4</v>
      </c>
      <c r="F10" s="28">
        <v>4</v>
      </c>
      <c r="G10" s="29">
        <v>10</v>
      </c>
      <c r="H10" s="30">
        <v>8</v>
      </c>
      <c r="I10" s="31">
        <v>0</v>
      </c>
      <c r="J10" s="20">
        <f t="shared" si="0"/>
        <v>0.74</v>
      </c>
      <c r="K10" s="32">
        <f t="shared" si="1"/>
        <v>18</v>
      </c>
      <c r="L10" s="15">
        <f t="shared" si="2"/>
        <v>31.05</v>
      </c>
      <c r="M10" s="21" t="str">
        <f t="shared" si="3"/>
        <v>G2-3</v>
      </c>
      <c r="N10" s="13" t="str">
        <f t="shared" si="4"/>
        <v>✓ concordant</v>
      </c>
      <c r="O10" s="33">
        <v>1.1399999999999999</v>
      </c>
      <c r="P10" s="34">
        <f t="shared" si="5"/>
        <v>35.396999999999998</v>
      </c>
    </row>
    <row r="11" spans="1:16" ht="15" customHeight="1" x14ac:dyDescent="0.2">
      <c r="A11" s="17" t="s">
        <v>82</v>
      </c>
      <c r="B11" s="18" t="s">
        <v>49</v>
      </c>
      <c r="C11" s="13">
        <v>1.5</v>
      </c>
      <c r="D11" s="13">
        <v>71</v>
      </c>
      <c r="E11" s="27">
        <v>15</v>
      </c>
      <c r="F11" s="28">
        <v>11</v>
      </c>
      <c r="G11" s="29">
        <v>3</v>
      </c>
      <c r="H11" s="30">
        <v>0</v>
      </c>
      <c r="I11" s="31">
        <v>0</v>
      </c>
      <c r="J11" s="20">
        <f t="shared" si="0"/>
        <v>0.46</v>
      </c>
      <c r="K11" s="32">
        <f t="shared" si="1"/>
        <v>3</v>
      </c>
      <c r="L11" s="15">
        <f t="shared" si="2"/>
        <v>25.875</v>
      </c>
      <c r="M11" s="21" t="str">
        <f t="shared" si="3"/>
        <v>G2-3</v>
      </c>
      <c r="N11" s="13" t="str">
        <f t="shared" si="4"/>
        <v>⚠ à vérifier</v>
      </c>
      <c r="O11" s="33">
        <v>0.61</v>
      </c>
      <c r="P11" s="34">
        <f t="shared" si="5"/>
        <v>15.78375</v>
      </c>
    </row>
    <row r="12" spans="1:16" ht="15" customHeight="1" x14ac:dyDescent="0.2">
      <c r="A12" s="17" t="s">
        <v>83</v>
      </c>
      <c r="B12" s="18" t="s">
        <v>36</v>
      </c>
      <c r="C12" s="13">
        <v>1</v>
      </c>
      <c r="D12" s="13">
        <v>75</v>
      </c>
      <c r="E12" s="27">
        <v>15</v>
      </c>
      <c r="F12" s="28">
        <v>8</v>
      </c>
      <c r="G12" s="29">
        <v>2</v>
      </c>
      <c r="H12" s="30">
        <v>0</v>
      </c>
      <c r="I12" s="31">
        <v>0</v>
      </c>
      <c r="J12" s="20">
        <f t="shared" si="0"/>
        <v>0.37</v>
      </c>
      <c r="K12" s="32">
        <f t="shared" si="1"/>
        <v>2</v>
      </c>
      <c r="L12" s="15">
        <f t="shared" si="2"/>
        <v>17.25</v>
      </c>
      <c r="M12" s="21" t="str">
        <f t="shared" si="3"/>
        <v>G1-2</v>
      </c>
      <c r="N12" s="13" t="str">
        <f t="shared" si="4"/>
        <v>✓ concordant</v>
      </c>
      <c r="O12" s="33">
        <v>0.45</v>
      </c>
      <c r="P12" s="34">
        <f t="shared" si="5"/>
        <v>7.7625000000000002</v>
      </c>
    </row>
    <row r="13" spans="1:16" ht="15" customHeight="1" x14ac:dyDescent="0.2">
      <c r="A13" s="17" t="s">
        <v>45</v>
      </c>
      <c r="B13" s="18" t="s">
        <v>36</v>
      </c>
      <c r="C13" s="13">
        <v>1</v>
      </c>
      <c r="D13" s="13">
        <v>78</v>
      </c>
      <c r="E13" s="27">
        <v>12</v>
      </c>
      <c r="F13" s="28">
        <v>8</v>
      </c>
      <c r="G13" s="29">
        <v>2</v>
      </c>
      <c r="H13" s="30">
        <v>0</v>
      </c>
      <c r="I13" s="31">
        <v>0</v>
      </c>
      <c r="J13" s="20">
        <f t="shared" si="0"/>
        <v>0.34</v>
      </c>
      <c r="K13" s="32">
        <f t="shared" si="1"/>
        <v>2</v>
      </c>
      <c r="L13" s="15">
        <f t="shared" si="2"/>
        <v>17.25</v>
      </c>
      <c r="M13" s="21" t="str">
        <f t="shared" si="3"/>
        <v>G1-2</v>
      </c>
      <c r="N13" s="13" t="str">
        <f t="shared" si="4"/>
        <v>✓ concordant</v>
      </c>
      <c r="O13" s="33">
        <v>0.45</v>
      </c>
      <c r="P13" s="34">
        <f t="shared" si="5"/>
        <v>7.7625000000000002</v>
      </c>
    </row>
    <row r="14" spans="1:16" ht="15" customHeight="1" x14ac:dyDescent="0.2">
      <c r="A14" s="17" t="s">
        <v>52</v>
      </c>
      <c r="B14" s="18" t="s">
        <v>33</v>
      </c>
      <c r="C14" s="13">
        <v>1.2</v>
      </c>
      <c r="D14" s="13">
        <v>81</v>
      </c>
      <c r="E14" s="27">
        <v>10</v>
      </c>
      <c r="F14" s="28">
        <v>5</v>
      </c>
      <c r="G14" s="29">
        <v>3</v>
      </c>
      <c r="H14" s="30">
        <v>1</v>
      </c>
      <c r="I14" s="31">
        <v>0</v>
      </c>
      <c r="J14" s="20">
        <f t="shared" si="0"/>
        <v>0.33</v>
      </c>
      <c r="K14" s="32">
        <f t="shared" si="1"/>
        <v>4</v>
      </c>
      <c r="L14" s="15">
        <f t="shared" si="2"/>
        <v>20.7</v>
      </c>
      <c r="M14" s="21" t="str">
        <f t="shared" si="3"/>
        <v>G2</v>
      </c>
      <c r="N14" s="13" t="str">
        <f t="shared" si="4"/>
        <v>⚠ à vérifier</v>
      </c>
      <c r="O14" s="33">
        <v>1.1200000000000001</v>
      </c>
      <c r="P14" s="34">
        <f t="shared" si="5"/>
        <v>23.184000000000001</v>
      </c>
    </row>
    <row r="15" spans="1:16" ht="15" customHeight="1" x14ac:dyDescent="0.2">
      <c r="A15" s="17" t="s">
        <v>84</v>
      </c>
      <c r="B15" s="18" t="s">
        <v>61</v>
      </c>
      <c r="C15" s="13">
        <v>1.3</v>
      </c>
      <c r="D15" s="13">
        <v>82</v>
      </c>
      <c r="E15" s="27">
        <v>12</v>
      </c>
      <c r="F15" s="28">
        <v>5</v>
      </c>
      <c r="G15" s="29">
        <v>1</v>
      </c>
      <c r="H15" s="30">
        <v>0</v>
      </c>
      <c r="I15" s="31">
        <v>0</v>
      </c>
      <c r="J15" s="20">
        <f t="shared" si="0"/>
        <v>0.25</v>
      </c>
      <c r="K15" s="32">
        <f t="shared" si="1"/>
        <v>1</v>
      </c>
      <c r="L15" s="15">
        <f t="shared" si="2"/>
        <v>22.425000000000001</v>
      </c>
      <c r="M15" s="21" t="str">
        <f t="shared" si="3"/>
        <v>G2</v>
      </c>
      <c r="N15" s="13" t="str">
        <f t="shared" si="4"/>
        <v>⚠ à vérifier</v>
      </c>
      <c r="O15" s="33">
        <v>0.33</v>
      </c>
      <c r="P15" s="34">
        <f t="shared" si="5"/>
        <v>7.4002500000000007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5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159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160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5*1.5+1*2+1*2+1.5*2+0.5*1.5+0.5*2.5</f>
        <v>16.5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86</v>
      </c>
      <c r="B8" s="18" t="s">
        <v>40</v>
      </c>
      <c r="C8" s="13">
        <v>1.8</v>
      </c>
      <c r="D8" s="13">
        <v>38</v>
      </c>
      <c r="E8" s="27">
        <v>40</v>
      </c>
      <c r="F8" s="28">
        <v>17</v>
      </c>
      <c r="G8" s="29">
        <v>4</v>
      </c>
      <c r="H8" s="30">
        <v>1</v>
      </c>
      <c r="I8" s="31">
        <v>0</v>
      </c>
      <c r="J8" s="20">
        <f t="shared" ref="J8:J15" si="0">(E8*1+F8*2+G8*3+H8*4+I8*5)/100</f>
        <v>0.9</v>
      </c>
      <c r="K8" s="32">
        <f t="shared" ref="K8:K15" si="1">G8+H8+I8</f>
        <v>5</v>
      </c>
      <c r="L8" s="15">
        <f t="shared" ref="L8:L15" si="2">$C$5*C8</f>
        <v>29.7</v>
      </c>
      <c r="M8" s="21" t="str">
        <f t="shared" ref="M8:M15" si="3">IF(L8&lt;12,"G1",IF(L8&lt;18,"G1-2",IF(L8&lt;25,"G2",IF(L8&lt;35,"G2-3",IF(L8&lt;45,"G3","G3-4")))))</f>
        <v>G2-3</v>
      </c>
      <c r="N8" s="13" t="str">
        <f t="shared" ref="N8:N15" si="4">IF(AND(K8&lt;10,L8&lt;18),"✓ concordant",IF(AND(K8&gt;=10,K8&lt;30,L8&gt;=12,L8&lt;35),"✓ concordant",IF(AND(K8&gt;=30,L8&gt;=25),"✓ concordant","⚠ à vérifier")))</f>
        <v>⚠ à vérifier</v>
      </c>
      <c r="O8" s="33">
        <v>1.2</v>
      </c>
      <c r="P8" s="34">
        <f t="shared" ref="P8:P15" si="5">L8*O8</f>
        <v>35.64</v>
      </c>
    </row>
    <row r="9" spans="1:16" ht="15" customHeight="1" x14ac:dyDescent="0.2">
      <c r="A9" s="17" t="s">
        <v>87</v>
      </c>
      <c r="B9" s="18" t="s">
        <v>75</v>
      </c>
      <c r="C9" s="13">
        <v>1.6</v>
      </c>
      <c r="D9" s="13">
        <v>47</v>
      </c>
      <c r="E9" s="27">
        <v>28</v>
      </c>
      <c r="F9" s="28">
        <v>22</v>
      </c>
      <c r="G9" s="29">
        <v>3</v>
      </c>
      <c r="H9" s="30">
        <v>0</v>
      </c>
      <c r="I9" s="31">
        <v>0</v>
      </c>
      <c r="J9" s="20">
        <f t="shared" si="0"/>
        <v>0.81</v>
      </c>
      <c r="K9" s="32">
        <f t="shared" si="1"/>
        <v>3</v>
      </c>
      <c r="L9" s="15">
        <f t="shared" si="2"/>
        <v>26.400000000000002</v>
      </c>
      <c r="M9" s="21" t="str">
        <f t="shared" si="3"/>
        <v>G2-3</v>
      </c>
      <c r="N9" s="13" t="str">
        <f t="shared" si="4"/>
        <v>⚠ à vérifier</v>
      </c>
      <c r="O9" s="33">
        <v>1.08</v>
      </c>
      <c r="P9" s="34">
        <f t="shared" si="5"/>
        <v>28.512000000000004</v>
      </c>
    </row>
    <row r="10" spans="1:16" ht="15" customHeight="1" x14ac:dyDescent="0.2">
      <c r="A10" s="17" t="s">
        <v>62</v>
      </c>
      <c r="B10" s="18" t="s">
        <v>61</v>
      </c>
      <c r="C10" s="13">
        <v>1.3</v>
      </c>
      <c r="D10" s="13">
        <v>62</v>
      </c>
      <c r="E10" s="27">
        <v>38</v>
      </c>
      <c r="F10" s="28">
        <v>0</v>
      </c>
      <c r="G10" s="29">
        <v>0</v>
      </c>
      <c r="H10" s="30">
        <v>0</v>
      </c>
      <c r="I10" s="31">
        <v>0</v>
      </c>
      <c r="J10" s="20">
        <f t="shared" si="0"/>
        <v>0.38</v>
      </c>
      <c r="K10" s="32">
        <f t="shared" si="1"/>
        <v>0</v>
      </c>
      <c r="L10" s="15">
        <f t="shared" si="2"/>
        <v>21.45</v>
      </c>
      <c r="M10" s="21" t="str">
        <f t="shared" si="3"/>
        <v>G2</v>
      </c>
      <c r="N10" s="13" t="str">
        <f t="shared" si="4"/>
        <v>⚠ à vérifier</v>
      </c>
      <c r="O10" s="33">
        <v>1.26</v>
      </c>
      <c r="P10" s="34">
        <f t="shared" si="5"/>
        <v>27.027000000000001</v>
      </c>
    </row>
    <row r="11" spans="1:16" ht="15" customHeight="1" x14ac:dyDescent="0.2">
      <c r="A11" s="17" t="s">
        <v>45</v>
      </c>
      <c r="B11" s="18" t="s">
        <v>36</v>
      </c>
      <c r="C11" s="13">
        <v>1</v>
      </c>
      <c r="D11" s="13">
        <v>64</v>
      </c>
      <c r="E11" s="27">
        <v>20</v>
      </c>
      <c r="F11" s="28">
        <v>12</v>
      </c>
      <c r="G11" s="29">
        <v>4</v>
      </c>
      <c r="H11" s="30">
        <v>0</v>
      </c>
      <c r="I11" s="31">
        <v>0</v>
      </c>
      <c r="J11" s="20">
        <f t="shared" si="0"/>
        <v>0.56000000000000005</v>
      </c>
      <c r="K11" s="32">
        <f t="shared" si="1"/>
        <v>4</v>
      </c>
      <c r="L11" s="15">
        <f t="shared" si="2"/>
        <v>16.5</v>
      </c>
      <c r="M11" s="21" t="str">
        <f t="shared" si="3"/>
        <v>G1-2</v>
      </c>
      <c r="N11" s="13" t="str">
        <f t="shared" si="4"/>
        <v>✓ concordant</v>
      </c>
      <c r="O11" s="33">
        <v>0.7</v>
      </c>
      <c r="P11" s="34">
        <f t="shared" si="5"/>
        <v>11.549999999999999</v>
      </c>
    </row>
    <row r="12" spans="1:16" ht="15" customHeight="1" x14ac:dyDescent="0.2">
      <c r="A12" s="17" t="s">
        <v>43</v>
      </c>
      <c r="B12" s="18" t="s">
        <v>44</v>
      </c>
      <c r="C12" s="13">
        <v>2</v>
      </c>
      <c r="D12" s="13">
        <v>74</v>
      </c>
      <c r="E12" s="27">
        <v>15</v>
      </c>
      <c r="F12" s="28">
        <v>8</v>
      </c>
      <c r="G12" s="29">
        <v>3</v>
      </c>
      <c r="H12" s="30">
        <v>0</v>
      </c>
      <c r="I12" s="31">
        <v>0</v>
      </c>
      <c r="J12" s="20">
        <f t="shared" si="0"/>
        <v>0.4</v>
      </c>
      <c r="K12" s="32">
        <f t="shared" si="1"/>
        <v>3</v>
      </c>
      <c r="L12" s="15">
        <f t="shared" si="2"/>
        <v>33</v>
      </c>
      <c r="M12" s="21" t="str">
        <f t="shared" si="3"/>
        <v>G2-3</v>
      </c>
      <c r="N12" s="13" t="str">
        <f t="shared" si="4"/>
        <v>⚠ à vérifier</v>
      </c>
      <c r="O12" s="33">
        <v>0.91</v>
      </c>
      <c r="P12" s="34">
        <f t="shared" si="5"/>
        <v>30.03</v>
      </c>
    </row>
    <row r="13" spans="1:16" ht="15" customHeight="1" x14ac:dyDescent="0.2">
      <c r="A13" s="17" t="s">
        <v>37</v>
      </c>
      <c r="B13" s="18" t="s">
        <v>38</v>
      </c>
      <c r="C13" s="13">
        <v>1</v>
      </c>
      <c r="D13" s="13">
        <v>73</v>
      </c>
      <c r="E13" s="27">
        <v>17</v>
      </c>
      <c r="F13" s="28">
        <v>8</v>
      </c>
      <c r="G13" s="29">
        <v>2</v>
      </c>
      <c r="H13" s="30">
        <v>0</v>
      </c>
      <c r="I13" s="31">
        <v>0</v>
      </c>
      <c r="J13" s="20">
        <f t="shared" si="0"/>
        <v>0.39</v>
      </c>
      <c r="K13" s="32">
        <f t="shared" si="1"/>
        <v>2</v>
      </c>
      <c r="L13" s="15">
        <f t="shared" si="2"/>
        <v>16.5</v>
      </c>
      <c r="M13" s="21" t="str">
        <f t="shared" si="3"/>
        <v>G1-2</v>
      </c>
      <c r="N13" s="13" t="str">
        <f t="shared" si="4"/>
        <v>✓ concordant</v>
      </c>
      <c r="O13" s="33">
        <v>0.62</v>
      </c>
      <c r="P13" s="34">
        <f t="shared" si="5"/>
        <v>10.23</v>
      </c>
    </row>
    <row r="14" spans="1:16" ht="15" customHeight="1" x14ac:dyDescent="0.2">
      <c r="A14" s="17" t="s">
        <v>88</v>
      </c>
      <c r="B14" s="18" t="s">
        <v>40</v>
      </c>
      <c r="C14" s="13">
        <v>1.8</v>
      </c>
      <c r="D14" s="13">
        <v>52</v>
      </c>
      <c r="E14" s="27">
        <v>38</v>
      </c>
      <c r="F14" s="28">
        <v>8</v>
      </c>
      <c r="G14" s="29">
        <v>2</v>
      </c>
      <c r="H14" s="30">
        <v>0</v>
      </c>
      <c r="I14" s="31">
        <v>0</v>
      </c>
      <c r="J14" s="20">
        <f t="shared" si="0"/>
        <v>0.6</v>
      </c>
      <c r="K14" s="32">
        <f t="shared" si="1"/>
        <v>2</v>
      </c>
      <c r="L14" s="15">
        <f t="shared" si="2"/>
        <v>29.7</v>
      </c>
      <c r="M14" s="21" t="str">
        <f t="shared" si="3"/>
        <v>G2-3</v>
      </c>
      <c r="N14" s="13" t="str">
        <f t="shared" si="4"/>
        <v>⚠ à vérifier</v>
      </c>
      <c r="O14" s="33">
        <v>1.2</v>
      </c>
      <c r="P14" s="34">
        <f t="shared" si="5"/>
        <v>35.64</v>
      </c>
    </row>
    <row r="15" spans="1:16" ht="15" customHeight="1" x14ac:dyDescent="0.2">
      <c r="A15" s="17" t="s">
        <v>46</v>
      </c>
      <c r="B15" s="18" t="s">
        <v>38</v>
      </c>
      <c r="C15" s="13">
        <v>1</v>
      </c>
      <c r="D15" s="13">
        <v>75</v>
      </c>
      <c r="E15" s="27">
        <v>15</v>
      </c>
      <c r="F15" s="28">
        <v>8</v>
      </c>
      <c r="G15" s="29">
        <v>2</v>
      </c>
      <c r="H15" s="30">
        <v>0</v>
      </c>
      <c r="I15" s="31">
        <v>0</v>
      </c>
      <c r="J15" s="20">
        <f t="shared" si="0"/>
        <v>0.37</v>
      </c>
      <c r="K15" s="32">
        <f t="shared" si="1"/>
        <v>2</v>
      </c>
      <c r="L15" s="15">
        <f t="shared" si="2"/>
        <v>16.5</v>
      </c>
      <c r="M15" s="21" t="str">
        <f t="shared" si="3"/>
        <v>G1-2</v>
      </c>
      <c r="N15" s="13" t="str">
        <f t="shared" si="4"/>
        <v>✓ concordant</v>
      </c>
      <c r="O15" s="33">
        <v>0.62</v>
      </c>
      <c r="P15" s="34">
        <f t="shared" si="5"/>
        <v>10.23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4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163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5*1.5+1*1.5+1*1.5+1.5*1+0.5*1.5+0.5*1.5</f>
        <v>13.5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77</v>
      </c>
      <c r="B8" s="18" t="s">
        <v>75</v>
      </c>
      <c r="C8" s="13">
        <v>1.6</v>
      </c>
      <c r="D8" s="13">
        <v>59</v>
      </c>
      <c r="E8" s="27">
        <v>20</v>
      </c>
      <c r="F8" s="28">
        <v>15</v>
      </c>
      <c r="G8" s="29">
        <v>6</v>
      </c>
      <c r="H8" s="30">
        <v>0</v>
      </c>
      <c r="I8" s="31">
        <v>0</v>
      </c>
      <c r="J8" s="20">
        <f t="shared" ref="J8:J14" si="0">(E8*1+F8*2+G8*3+H8*4+I8*5)/100</f>
        <v>0.68</v>
      </c>
      <c r="K8" s="32">
        <f t="shared" ref="K8:K14" si="1">G8+H8+I8</f>
        <v>6</v>
      </c>
      <c r="L8" s="15">
        <f t="shared" ref="L8:L14" si="2">$C$5*C8</f>
        <v>21.6</v>
      </c>
      <c r="M8" s="21" t="str">
        <f t="shared" ref="M8:M14" si="3">IF(L8&lt;12,"G1",IF(L8&lt;18,"G1-2",IF(L8&lt;25,"G2",IF(L8&lt;35,"G2-3",IF(L8&lt;45,"G3","G3-4")))))</f>
        <v>G2</v>
      </c>
      <c r="N8" s="13" t="str">
        <f t="shared" ref="N8:N14" si="4">IF(AND(K8&lt;10,L8&lt;18),"✓ concordant",IF(AND(K8&gt;=10,K8&lt;30,L8&gt;=12,L8&lt;35),"✓ concordant",IF(AND(K8&gt;=30,L8&gt;=25),"✓ concordant","⚠ à vérifier")))</f>
        <v>⚠ à vérifier</v>
      </c>
      <c r="O8" s="33">
        <v>0.83</v>
      </c>
      <c r="P8" s="34">
        <f t="shared" ref="P8:P14" si="5">L8*O8</f>
        <v>17.928000000000001</v>
      </c>
    </row>
    <row r="9" spans="1:16" ht="15" customHeight="1" x14ac:dyDescent="0.2">
      <c r="A9" s="17" t="s">
        <v>74</v>
      </c>
      <c r="B9" s="18" t="s">
        <v>75</v>
      </c>
      <c r="C9" s="13">
        <v>1.6</v>
      </c>
      <c r="D9" s="13">
        <v>70</v>
      </c>
      <c r="E9" s="27">
        <v>12</v>
      </c>
      <c r="F9" s="28">
        <v>10</v>
      </c>
      <c r="G9" s="29">
        <v>8</v>
      </c>
      <c r="H9" s="30">
        <v>0</v>
      </c>
      <c r="I9" s="31">
        <v>0</v>
      </c>
      <c r="J9" s="20">
        <f t="shared" si="0"/>
        <v>0.56000000000000005</v>
      </c>
      <c r="K9" s="32">
        <f t="shared" si="1"/>
        <v>8</v>
      </c>
      <c r="L9" s="15">
        <f t="shared" si="2"/>
        <v>21.6</v>
      </c>
      <c r="M9" s="21" t="str">
        <f t="shared" si="3"/>
        <v>G2</v>
      </c>
      <c r="N9" s="13" t="str">
        <f t="shared" si="4"/>
        <v>⚠ à vérifier</v>
      </c>
      <c r="O9" s="33">
        <v>0.83</v>
      </c>
      <c r="P9" s="34">
        <f t="shared" si="5"/>
        <v>17.928000000000001</v>
      </c>
    </row>
    <row r="10" spans="1:16" ht="15" customHeight="1" x14ac:dyDescent="0.2">
      <c r="A10" s="17" t="s">
        <v>37</v>
      </c>
      <c r="B10" s="18" t="s">
        <v>38</v>
      </c>
      <c r="C10" s="13">
        <v>1</v>
      </c>
      <c r="D10" s="13">
        <v>65</v>
      </c>
      <c r="E10" s="27">
        <v>22</v>
      </c>
      <c r="F10" s="28">
        <v>11</v>
      </c>
      <c r="G10" s="29">
        <v>2</v>
      </c>
      <c r="H10" s="30">
        <v>0</v>
      </c>
      <c r="I10" s="31">
        <v>0</v>
      </c>
      <c r="J10" s="20">
        <f t="shared" si="0"/>
        <v>0.5</v>
      </c>
      <c r="K10" s="32">
        <f t="shared" si="1"/>
        <v>2</v>
      </c>
      <c r="L10" s="15">
        <f t="shared" si="2"/>
        <v>13.5</v>
      </c>
      <c r="M10" s="21" t="str">
        <f t="shared" si="3"/>
        <v>G1-2</v>
      </c>
      <c r="N10" s="13" t="str">
        <f t="shared" si="4"/>
        <v>✓ concordant</v>
      </c>
      <c r="O10" s="33">
        <v>0.67</v>
      </c>
      <c r="P10" s="34">
        <f t="shared" si="5"/>
        <v>9.0449999999999999</v>
      </c>
    </row>
    <row r="11" spans="1:16" ht="15" customHeight="1" x14ac:dyDescent="0.2">
      <c r="A11" s="17" t="s">
        <v>43</v>
      </c>
      <c r="B11" s="18" t="s">
        <v>44</v>
      </c>
      <c r="C11" s="13">
        <v>2</v>
      </c>
      <c r="D11" s="13">
        <v>77</v>
      </c>
      <c r="E11" s="27">
        <v>13</v>
      </c>
      <c r="F11" s="28">
        <v>8</v>
      </c>
      <c r="G11" s="29">
        <v>2</v>
      </c>
      <c r="H11" s="30">
        <v>0</v>
      </c>
      <c r="I11" s="31">
        <v>0</v>
      </c>
      <c r="J11" s="20">
        <f t="shared" si="0"/>
        <v>0.35</v>
      </c>
      <c r="K11" s="32">
        <f t="shared" si="1"/>
        <v>2</v>
      </c>
      <c r="L11" s="15">
        <f t="shared" si="2"/>
        <v>27</v>
      </c>
      <c r="M11" s="21" t="str">
        <f t="shared" si="3"/>
        <v>G2-3</v>
      </c>
      <c r="N11" s="13" t="str">
        <f t="shared" si="4"/>
        <v>⚠ à vérifier</v>
      </c>
      <c r="O11" s="33">
        <v>0.47</v>
      </c>
      <c r="P11" s="34">
        <f t="shared" si="5"/>
        <v>12.69</v>
      </c>
    </row>
    <row r="12" spans="1:16" ht="15" customHeight="1" x14ac:dyDescent="0.2">
      <c r="A12" s="17" t="s">
        <v>45</v>
      </c>
      <c r="B12" s="18" t="s">
        <v>36</v>
      </c>
      <c r="C12" s="13">
        <v>1</v>
      </c>
      <c r="D12" s="13">
        <v>72</v>
      </c>
      <c r="E12" s="27">
        <v>16</v>
      </c>
      <c r="F12" s="28">
        <v>10</v>
      </c>
      <c r="G12" s="29">
        <v>2</v>
      </c>
      <c r="H12" s="30">
        <v>0</v>
      </c>
      <c r="I12" s="31">
        <v>0</v>
      </c>
      <c r="J12" s="20">
        <f t="shared" si="0"/>
        <v>0.42</v>
      </c>
      <c r="K12" s="32">
        <f t="shared" si="1"/>
        <v>2</v>
      </c>
      <c r="L12" s="15">
        <f t="shared" si="2"/>
        <v>13.5</v>
      </c>
      <c r="M12" s="21" t="str">
        <f t="shared" si="3"/>
        <v>G1-2</v>
      </c>
      <c r="N12" s="13" t="str">
        <f t="shared" si="4"/>
        <v>✓ concordant</v>
      </c>
      <c r="O12" s="33">
        <v>0.56000000000000005</v>
      </c>
      <c r="P12" s="34">
        <f t="shared" si="5"/>
        <v>7.5600000000000005</v>
      </c>
    </row>
    <row r="13" spans="1:16" ht="15" customHeight="1" x14ac:dyDescent="0.2">
      <c r="A13" s="17" t="s">
        <v>46</v>
      </c>
      <c r="B13" s="18" t="s">
        <v>38</v>
      </c>
      <c r="C13" s="13">
        <v>1</v>
      </c>
      <c r="D13" s="13">
        <v>77</v>
      </c>
      <c r="E13" s="27">
        <v>14</v>
      </c>
      <c r="F13" s="28">
        <v>7</v>
      </c>
      <c r="G13" s="29">
        <v>2</v>
      </c>
      <c r="H13" s="30">
        <v>0</v>
      </c>
      <c r="I13" s="31">
        <v>0</v>
      </c>
      <c r="J13" s="20">
        <f t="shared" si="0"/>
        <v>0.34</v>
      </c>
      <c r="K13" s="32">
        <f t="shared" si="1"/>
        <v>2</v>
      </c>
      <c r="L13" s="15">
        <f t="shared" si="2"/>
        <v>13.5</v>
      </c>
      <c r="M13" s="21" t="str">
        <f t="shared" si="3"/>
        <v>G1-2</v>
      </c>
      <c r="N13" s="13" t="str">
        <f t="shared" si="4"/>
        <v>✓ concordant</v>
      </c>
      <c r="O13" s="33">
        <v>0.67</v>
      </c>
      <c r="P13" s="34">
        <f t="shared" si="5"/>
        <v>9.0449999999999999</v>
      </c>
    </row>
    <row r="14" spans="1:16" ht="15" customHeight="1" x14ac:dyDescent="0.2">
      <c r="A14" s="17" t="s">
        <v>78</v>
      </c>
      <c r="B14" s="18" t="s">
        <v>75</v>
      </c>
      <c r="C14" s="13">
        <v>1.6</v>
      </c>
      <c r="D14" s="13">
        <v>80</v>
      </c>
      <c r="E14" s="27">
        <v>14</v>
      </c>
      <c r="F14" s="28">
        <v>5</v>
      </c>
      <c r="G14" s="29">
        <v>1</v>
      </c>
      <c r="H14" s="30">
        <v>0</v>
      </c>
      <c r="I14" s="31">
        <v>0</v>
      </c>
      <c r="J14" s="20">
        <f t="shared" si="0"/>
        <v>0.27</v>
      </c>
      <c r="K14" s="32">
        <f t="shared" si="1"/>
        <v>1</v>
      </c>
      <c r="L14" s="15">
        <f t="shared" si="2"/>
        <v>21.6</v>
      </c>
      <c r="M14" s="21" t="str">
        <f t="shared" si="3"/>
        <v>G2</v>
      </c>
      <c r="N14" s="13" t="str">
        <f t="shared" si="4"/>
        <v>⚠ à vérifier</v>
      </c>
      <c r="O14" s="33">
        <v>0.83</v>
      </c>
      <c r="P14" s="34">
        <f t="shared" si="5"/>
        <v>17.928000000000001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4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167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168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5*1+1*1.5+1*0.5+1.5*1+0.5*1+0.5*1</f>
        <v>9.5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92</v>
      </c>
      <c r="B8" s="18" t="s">
        <v>38</v>
      </c>
      <c r="C8" s="13">
        <v>1</v>
      </c>
      <c r="D8" s="13">
        <v>44</v>
      </c>
      <c r="E8" s="27">
        <v>30</v>
      </c>
      <c r="F8" s="28">
        <v>18</v>
      </c>
      <c r="G8" s="29">
        <v>7</v>
      </c>
      <c r="H8" s="30">
        <v>1</v>
      </c>
      <c r="I8" s="31">
        <v>0</v>
      </c>
      <c r="J8" s="20">
        <f t="shared" ref="J8:J14" si="0">(E8*1+F8*2+G8*3+H8*4+I8*5)/100</f>
        <v>0.91</v>
      </c>
      <c r="K8" s="32">
        <f t="shared" ref="K8:K14" si="1">G8+H8+I8</f>
        <v>8</v>
      </c>
      <c r="L8" s="15">
        <f t="shared" ref="L8:L14" si="2">$C$5*C8</f>
        <v>9.5</v>
      </c>
      <c r="M8" s="21" t="str">
        <f t="shared" ref="M8:M14" si="3">IF(L8&lt;12,"G1",IF(L8&lt;18,"G1-2",IF(L8&lt;25,"G2",IF(L8&lt;35,"G2-3",IF(L8&lt;45,"G3","G3-4")))))</f>
        <v>G1</v>
      </c>
      <c r="N8" s="13" t="str">
        <f t="shared" ref="N8:N14" si="4">IF(AND(K8&lt;10,L8&lt;18),"✓ concordant",IF(AND(K8&gt;=10,K8&lt;30,L8&gt;=12,L8&lt;35),"✓ concordant",IF(AND(K8&gt;=30,L8&gt;=25),"✓ concordant","⚠ à vérifier")))</f>
        <v>✓ concordant</v>
      </c>
      <c r="O8" s="33">
        <v>1.05</v>
      </c>
      <c r="P8" s="34">
        <f t="shared" ref="P8:P14" si="5">L8*O8</f>
        <v>9.9749999999999996</v>
      </c>
    </row>
    <row r="9" spans="1:16" ht="15" customHeight="1" x14ac:dyDescent="0.2">
      <c r="A9" s="17" t="s">
        <v>37</v>
      </c>
      <c r="B9" s="18" t="s">
        <v>38</v>
      </c>
      <c r="C9" s="13">
        <v>1</v>
      </c>
      <c r="D9" s="13">
        <v>49</v>
      </c>
      <c r="E9" s="27">
        <v>32</v>
      </c>
      <c r="F9" s="28">
        <v>16</v>
      </c>
      <c r="G9" s="29">
        <v>3</v>
      </c>
      <c r="H9" s="30">
        <v>0</v>
      </c>
      <c r="I9" s="31">
        <v>0</v>
      </c>
      <c r="J9" s="20">
        <f t="shared" si="0"/>
        <v>0.73</v>
      </c>
      <c r="K9" s="32">
        <f t="shared" si="1"/>
        <v>3</v>
      </c>
      <c r="L9" s="15">
        <f t="shared" si="2"/>
        <v>9.5</v>
      </c>
      <c r="M9" s="21" t="str">
        <f t="shared" si="3"/>
        <v>G1</v>
      </c>
      <c r="N9" s="13" t="str">
        <f t="shared" si="4"/>
        <v>✓ concordant</v>
      </c>
      <c r="O9" s="33">
        <v>1.05</v>
      </c>
      <c r="P9" s="34">
        <f t="shared" si="5"/>
        <v>9.9749999999999996</v>
      </c>
    </row>
    <row r="10" spans="1:16" ht="15" customHeight="1" x14ac:dyDescent="0.2">
      <c r="A10" s="17" t="s">
        <v>45</v>
      </c>
      <c r="B10" s="18" t="s">
        <v>36</v>
      </c>
      <c r="C10" s="13">
        <v>1</v>
      </c>
      <c r="D10" s="13">
        <v>68</v>
      </c>
      <c r="E10" s="27">
        <v>18</v>
      </c>
      <c r="F10" s="28">
        <v>10</v>
      </c>
      <c r="G10" s="29">
        <v>4</v>
      </c>
      <c r="H10" s="30">
        <v>0</v>
      </c>
      <c r="I10" s="31">
        <v>0</v>
      </c>
      <c r="J10" s="20">
        <f t="shared" si="0"/>
        <v>0.5</v>
      </c>
      <c r="K10" s="32">
        <f t="shared" si="1"/>
        <v>4</v>
      </c>
      <c r="L10" s="15">
        <f t="shared" si="2"/>
        <v>9.5</v>
      </c>
      <c r="M10" s="21" t="str">
        <f t="shared" si="3"/>
        <v>G1</v>
      </c>
      <c r="N10" s="13" t="str">
        <f t="shared" si="4"/>
        <v>✓ concordant</v>
      </c>
      <c r="O10" s="33">
        <v>0.67</v>
      </c>
      <c r="P10" s="34">
        <f t="shared" si="5"/>
        <v>6.3650000000000002</v>
      </c>
    </row>
    <row r="11" spans="1:16" ht="15" customHeight="1" x14ac:dyDescent="0.2">
      <c r="A11" s="17" t="s">
        <v>62</v>
      </c>
      <c r="B11" s="18" t="s">
        <v>61</v>
      </c>
      <c r="C11" s="13">
        <v>1.3</v>
      </c>
      <c r="D11" s="13">
        <v>63</v>
      </c>
      <c r="E11" s="27">
        <v>37</v>
      </c>
      <c r="F11" s="28">
        <v>0</v>
      </c>
      <c r="G11" s="29">
        <v>0</v>
      </c>
      <c r="H11" s="30">
        <v>0</v>
      </c>
      <c r="I11" s="31">
        <v>0</v>
      </c>
      <c r="J11" s="20">
        <f t="shared" si="0"/>
        <v>0.37</v>
      </c>
      <c r="K11" s="32">
        <f t="shared" si="1"/>
        <v>0</v>
      </c>
      <c r="L11" s="15">
        <f t="shared" si="2"/>
        <v>12.35</v>
      </c>
      <c r="M11" s="21" t="str">
        <f t="shared" si="3"/>
        <v>G1-2</v>
      </c>
      <c r="N11" s="13" t="str">
        <f t="shared" si="4"/>
        <v>✓ concordant</v>
      </c>
      <c r="O11" s="33">
        <v>1</v>
      </c>
      <c r="P11" s="34">
        <f t="shared" si="5"/>
        <v>12.35</v>
      </c>
    </row>
    <row r="12" spans="1:16" ht="15" customHeight="1" x14ac:dyDescent="0.2">
      <c r="A12" s="17" t="s">
        <v>30</v>
      </c>
      <c r="B12" s="18" t="s">
        <v>28</v>
      </c>
      <c r="C12" s="13">
        <v>1.8</v>
      </c>
      <c r="D12" s="13">
        <v>80</v>
      </c>
      <c r="E12" s="27">
        <v>8</v>
      </c>
      <c r="F12" s="28">
        <v>8</v>
      </c>
      <c r="G12" s="29">
        <v>3</v>
      </c>
      <c r="H12" s="30">
        <v>1</v>
      </c>
      <c r="I12" s="31">
        <v>0</v>
      </c>
      <c r="J12" s="20">
        <f t="shared" si="0"/>
        <v>0.37</v>
      </c>
      <c r="K12" s="32">
        <f t="shared" si="1"/>
        <v>4</v>
      </c>
      <c r="L12" s="15">
        <f t="shared" si="2"/>
        <v>17.100000000000001</v>
      </c>
      <c r="M12" s="21" t="str">
        <f t="shared" si="3"/>
        <v>G1-2</v>
      </c>
      <c r="N12" s="13" t="str">
        <f t="shared" si="4"/>
        <v>✓ concordant</v>
      </c>
      <c r="O12" s="33">
        <v>0.95</v>
      </c>
      <c r="P12" s="34">
        <f t="shared" si="5"/>
        <v>16.245000000000001</v>
      </c>
    </row>
    <row r="13" spans="1:16" ht="15" customHeight="1" x14ac:dyDescent="0.2">
      <c r="A13" s="17" t="s">
        <v>93</v>
      </c>
      <c r="B13" s="18" t="s">
        <v>49</v>
      </c>
      <c r="C13" s="13">
        <v>1.5</v>
      </c>
      <c r="D13" s="13">
        <v>92</v>
      </c>
      <c r="E13" s="27">
        <v>3</v>
      </c>
      <c r="F13" s="28">
        <v>2.4</v>
      </c>
      <c r="G13" s="29">
        <v>2</v>
      </c>
      <c r="H13" s="30">
        <v>0.6</v>
      </c>
      <c r="I13" s="31">
        <v>0.3</v>
      </c>
      <c r="J13" s="20">
        <f t="shared" si="0"/>
        <v>0.17699999999999999</v>
      </c>
      <c r="K13" s="32">
        <f t="shared" si="1"/>
        <v>2.9</v>
      </c>
      <c r="L13" s="15">
        <f t="shared" si="2"/>
        <v>14.25</v>
      </c>
      <c r="M13" s="21" t="str">
        <f t="shared" si="3"/>
        <v>G1-2</v>
      </c>
      <c r="N13" s="13" t="str">
        <f t="shared" si="4"/>
        <v>✓ concordant</v>
      </c>
      <c r="O13" s="33">
        <v>0.31</v>
      </c>
      <c r="P13" s="34">
        <f t="shared" si="5"/>
        <v>4.4174999999999995</v>
      </c>
    </row>
    <row r="14" spans="1:16" ht="15" customHeight="1" x14ac:dyDescent="0.2">
      <c r="A14" s="17" t="s">
        <v>94</v>
      </c>
      <c r="B14" s="18" t="s">
        <v>38</v>
      </c>
      <c r="C14" s="13">
        <v>1</v>
      </c>
      <c r="D14" s="13">
        <v>75</v>
      </c>
      <c r="E14" s="27">
        <v>18</v>
      </c>
      <c r="F14" s="28">
        <v>6</v>
      </c>
      <c r="G14" s="29">
        <v>1</v>
      </c>
      <c r="H14" s="30">
        <v>0</v>
      </c>
      <c r="I14" s="31">
        <v>0</v>
      </c>
      <c r="J14" s="20">
        <f t="shared" si="0"/>
        <v>0.33</v>
      </c>
      <c r="K14" s="32">
        <f t="shared" si="1"/>
        <v>1</v>
      </c>
      <c r="L14" s="15">
        <f t="shared" si="2"/>
        <v>9.5</v>
      </c>
      <c r="M14" s="21" t="str">
        <f t="shared" si="3"/>
        <v>G1</v>
      </c>
      <c r="N14" s="13" t="str">
        <f t="shared" si="4"/>
        <v>✓ concordant</v>
      </c>
      <c r="O14" s="33">
        <v>1.05</v>
      </c>
      <c r="P14" s="34">
        <f t="shared" si="5"/>
        <v>9.9749999999999996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14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2" width="12" customWidth="1"/>
    <col min="3" max="3" width="8" customWidth="1"/>
    <col min="4" max="9" width="7" customWidth="1"/>
    <col min="10" max="11" width="8" customWidth="1"/>
    <col min="12" max="12" width="14" customWidth="1"/>
    <col min="13" max="13" width="10" customWidth="1"/>
    <col min="14" max="16" width="14" customWidth="1"/>
  </cols>
  <sheetData>
    <row r="1" spans="1:16" ht="17.25" customHeight="1" x14ac:dyDescent="0.2">
      <c r="A1" s="3" t="s">
        <v>169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6" ht="15" customHeight="1" x14ac:dyDescent="0.2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ht="15" customHeight="1" x14ac:dyDescent="0.2">
      <c r="A3" s="2" t="s">
        <v>171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6" ht="15" customHeight="1" x14ac:dyDescent="0.2">
      <c r="A4" s="1" t="s">
        <v>172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ht="15" customHeight="1" x14ac:dyDescent="0.2">
      <c r="A5" s="25" t="s">
        <v>107</v>
      </c>
      <c r="C5" s="26">
        <f>5*1.5+1*1.5+1*2+1.5*1.5+0.5*1.5+0.5*1.5</f>
        <v>14.75</v>
      </c>
    </row>
    <row r="7" spans="1:16" ht="23.25" customHeight="1" x14ac:dyDescent="0.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116</v>
      </c>
      <c r="J7" s="4" t="s">
        <v>117</v>
      </c>
      <c r="K7" s="4" t="s">
        <v>118</v>
      </c>
      <c r="L7" s="4" t="s">
        <v>119</v>
      </c>
      <c r="M7" s="4" t="s">
        <v>20</v>
      </c>
      <c r="N7" s="4" t="s">
        <v>120</v>
      </c>
      <c r="O7" s="4" t="s">
        <v>23</v>
      </c>
      <c r="P7" s="4" t="s">
        <v>24</v>
      </c>
    </row>
    <row r="8" spans="1:16" ht="15" customHeight="1" x14ac:dyDescent="0.2">
      <c r="A8" s="17" t="s">
        <v>83</v>
      </c>
      <c r="B8" s="18" t="s">
        <v>36</v>
      </c>
      <c r="C8" s="13">
        <v>1</v>
      </c>
      <c r="D8" s="13">
        <v>63</v>
      </c>
      <c r="E8" s="27">
        <v>22</v>
      </c>
      <c r="F8" s="28">
        <v>13</v>
      </c>
      <c r="G8" s="29">
        <v>2</v>
      </c>
      <c r="H8" s="30">
        <v>0</v>
      </c>
      <c r="I8" s="31">
        <v>0</v>
      </c>
      <c r="J8" s="20">
        <f t="shared" ref="J8:J14" si="0">(E8*1+F8*2+G8*3+H8*4+I8*5)/100</f>
        <v>0.54</v>
      </c>
      <c r="K8" s="32">
        <f t="shared" ref="K8:K14" si="1">G8+H8+I8</f>
        <v>2</v>
      </c>
      <c r="L8" s="15">
        <f t="shared" ref="L8:L14" si="2">$C$5*C8</f>
        <v>14.75</v>
      </c>
      <c r="M8" s="21" t="str">
        <f t="shared" ref="M8:M14" si="3">IF(L8&lt;12,"G1",IF(L8&lt;18,"G1-2",IF(L8&lt;25,"G2",IF(L8&lt;35,"G2-3",IF(L8&lt;45,"G3","G3-4")))))</f>
        <v>G1-2</v>
      </c>
      <c r="N8" s="13" t="str">
        <f t="shared" ref="N8:N14" si="4">IF(AND(K8&lt;10,L8&lt;18),"✓ concordant",IF(AND(K8&gt;=10,K8&lt;30,L8&gt;=12,L8&lt;35),"✓ concordant",IF(AND(K8&gt;=30,L8&gt;=25),"✓ concordant","⚠ à vérifier")))</f>
        <v>✓ concordant</v>
      </c>
      <c r="O8" s="33">
        <v>0.7</v>
      </c>
      <c r="P8" s="34">
        <f t="shared" ref="P8:P14" si="5">L8*O8</f>
        <v>10.324999999999999</v>
      </c>
    </row>
    <row r="9" spans="1:16" ht="15" customHeight="1" x14ac:dyDescent="0.2">
      <c r="A9" s="17" t="s">
        <v>43</v>
      </c>
      <c r="B9" s="18" t="s">
        <v>44</v>
      </c>
      <c r="C9" s="13">
        <v>2</v>
      </c>
      <c r="D9" s="13">
        <v>72</v>
      </c>
      <c r="E9" s="27">
        <v>14</v>
      </c>
      <c r="F9" s="28">
        <v>9</v>
      </c>
      <c r="G9" s="29">
        <v>5</v>
      </c>
      <c r="H9" s="30">
        <v>0</v>
      </c>
      <c r="I9" s="31">
        <v>0</v>
      </c>
      <c r="J9" s="20">
        <f t="shared" si="0"/>
        <v>0.47</v>
      </c>
      <c r="K9" s="32">
        <f t="shared" si="1"/>
        <v>5</v>
      </c>
      <c r="L9" s="15">
        <f t="shared" si="2"/>
        <v>29.5</v>
      </c>
      <c r="M9" s="21" t="str">
        <f t="shared" si="3"/>
        <v>G2-3</v>
      </c>
      <c r="N9" s="13" t="str">
        <f t="shared" si="4"/>
        <v>⚠ à vérifier</v>
      </c>
      <c r="O9" s="33">
        <v>0.91</v>
      </c>
      <c r="P9" s="34">
        <f t="shared" si="5"/>
        <v>26.845000000000002</v>
      </c>
    </row>
    <row r="10" spans="1:16" ht="15" customHeight="1" x14ac:dyDescent="0.2">
      <c r="A10" s="17" t="s">
        <v>37</v>
      </c>
      <c r="B10" s="18" t="s">
        <v>38</v>
      </c>
      <c r="C10" s="13">
        <v>1</v>
      </c>
      <c r="D10" s="13">
        <v>67</v>
      </c>
      <c r="E10" s="27">
        <v>20</v>
      </c>
      <c r="F10" s="28">
        <v>11</v>
      </c>
      <c r="G10" s="29">
        <v>2</v>
      </c>
      <c r="H10" s="30">
        <v>0</v>
      </c>
      <c r="I10" s="31">
        <v>0</v>
      </c>
      <c r="J10" s="20">
        <f t="shared" si="0"/>
        <v>0.48</v>
      </c>
      <c r="K10" s="32">
        <f t="shared" si="1"/>
        <v>2</v>
      </c>
      <c r="L10" s="15">
        <f t="shared" si="2"/>
        <v>14.75</v>
      </c>
      <c r="M10" s="21" t="str">
        <f t="shared" si="3"/>
        <v>G1-2</v>
      </c>
      <c r="N10" s="13" t="str">
        <f t="shared" si="4"/>
        <v>✓ concordant</v>
      </c>
      <c r="O10" s="33">
        <v>0.62</v>
      </c>
      <c r="P10" s="34">
        <f t="shared" si="5"/>
        <v>9.1449999999999996</v>
      </c>
    </row>
    <row r="11" spans="1:16" ht="15" customHeight="1" x14ac:dyDescent="0.2">
      <c r="A11" s="17" t="s">
        <v>45</v>
      </c>
      <c r="B11" s="18" t="s">
        <v>36</v>
      </c>
      <c r="C11" s="13">
        <v>1</v>
      </c>
      <c r="D11" s="13">
        <v>70</v>
      </c>
      <c r="E11" s="27">
        <v>18</v>
      </c>
      <c r="F11" s="28">
        <v>10</v>
      </c>
      <c r="G11" s="29">
        <v>2</v>
      </c>
      <c r="H11" s="30">
        <v>0</v>
      </c>
      <c r="I11" s="31">
        <v>0</v>
      </c>
      <c r="J11" s="20">
        <f t="shared" si="0"/>
        <v>0.44</v>
      </c>
      <c r="K11" s="32">
        <f t="shared" si="1"/>
        <v>2</v>
      </c>
      <c r="L11" s="15">
        <f t="shared" si="2"/>
        <v>14.75</v>
      </c>
      <c r="M11" s="21" t="str">
        <f t="shared" si="3"/>
        <v>G1-2</v>
      </c>
      <c r="N11" s="13" t="str">
        <f t="shared" si="4"/>
        <v>✓ concordant</v>
      </c>
      <c r="O11" s="33">
        <v>0.7</v>
      </c>
      <c r="P11" s="34">
        <f t="shared" si="5"/>
        <v>10.324999999999999</v>
      </c>
    </row>
    <row r="12" spans="1:16" ht="15" customHeight="1" x14ac:dyDescent="0.2">
      <c r="A12" s="17" t="s">
        <v>93</v>
      </c>
      <c r="B12" s="18" t="s">
        <v>49</v>
      </c>
      <c r="C12" s="13">
        <v>1.5</v>
      </c>
      <c r="D12" s="13">
        <v>93</v>
      </c>
      <c r="E12" s="27">
        <v>3</v>
      </c>
      <c r="F12" s="28">
        <v>2</v>
      </c>
      <c r="G12" s="29">
        <v>1.5</v>
      </c>
      <c r="H12" s="30">
        <v>0.5</v>
      </c>
      <c r="I12" s="31">
        <v>0</v>
      </c>
      <c r="J12" s="20">
        <f t="shared" si="0"/>
        <v>0.13500000000000001</v>
      </c>
      <c r="K12" s="32">
        <f t="shared" si="1"/>
        <v>2</v>
      </c>
      <c r="L12" s="15">
        <f t="shared" si="2"/>
        <v>22.125</v>
      </c>
      <c r="M12" s="21" t="str">
        <f t="shared" si="3"/>
        <v>G2</v>
      </c>
      <c r="N12" s="13" t="str">
        <f t="shared" si="4"/>
        <v>⚠ à vérifier</v>
      </c>
      <c r="O12" s="33">
        <v>0.2</v>
      </c>
      <c r="P12" s="34">
        <f t="shared" si="5"/>
        <v>4.4249999999999998</v>
      </c>
    </row>
    <row r="13" spans="1:16" ht="15" customHeight="1" x14ac:dyDescent="0.2">
      <c r="A13" s="17" t="s">
        <v>52</v>
      </c>
      <c r="B13" s="18" t="s">
        <v>33</v>
      </c>
      <c r="C13" s="13">
        <v>1.2</v>
      </c>
      <c r="D13" s="13">
        <v>82</v>
      </c>
      <c r="E13" s="27">
        <v>10</v>
      </c>
      <c r="F13" s="28">
        <v>5</v>
      </c>
      <c r="G13" s="29">
        <v>2</v>
      </c>
      <c r="H13" s="30">
        <v>1</v>
      </c>
      <c r="I13" s="31">
        <v>0</v>
      </c>
      <c r="J13" s="20">
        <f t="shared" si="0"/>
        <v>0.3</v>
      </c>
      <c r="K13" s="32">
        <f t="shared" si="1"/>
        <v>3</v>
      </c>
      <c r="L13" s="15">
        <f t="shared" si="2"/>
        <v>17.7</v>
      </c>
      <c r="M13" s="21" t="str">
        <f t="shared" si="3"/>
        <v>G1-2</v>
      </c>
      <c r="N13" s="13" t="str">
        <f t="shared" si="4"/>
        <v>✓ concordant</v>
      </c>
      <c r="O13" s="33">
        <v>1</v>
      </c>
      <c r="P13" s="34">
        <f t="shared" si="5"/>
        <v>17.7</v>
      </c>
    </row>
    <row r="14" spans="1:16" ht="15" customHeight="1" x14ac:dyDescent="0.2">
      <c r="A14" s="17" t="s">
        <v>96</v>
      </c>
      <c r="B14" s="18" t="s">
        <v>33</v>
      </c>
      <c r="C14" s="13">
        <v>1.2</v>
      </c>
      <c r="D14" s="13">
        <v>75</v>
      </c>
      <c r="E14" s="27">
        <v>15</v>
      </c>
      <c r="F14" s="28">
        <v>8</v>
      </c>
      <c r="G14" s="29">
        <v>2</v>
      </c>
      <c r="H14" s="30">
        <v>0</v>
      </c>
      <c r="I14" s="31">
        <v>0</v>
      </c>
      <c r="J14" s="20">
        <f t="shared" si="0"/>
        <v>0.37</v>
      </c>
      <c r="K14" s="32">
        <f t="shared" si="1"/>
        <v>2</v>
      </c>
      <c r="L14" s="15">
        <f t="shared" si="2"/>
        <v>17.7</v>
      </c>
      <c r="M14" s="21" t="str">
        <f t="shared" si="3"/>
        <v>G1-2</v>
      </c>
      <c r="N14" s="13" t="str">
        <f t="shared" si="4"/>
        <v>✓ concordant</v>
      </c>
      <c r="O14" s="33">
        <v>1</v>
      </c>
      <c r="P14" s="34">
        <f t="shared" si="5"/>
        <v>17.7</v>
      </c>
    </row>
  </sheetData>
  <mergeCells count="4">
    <mergeCell ref="A1:N1"/>
    <mergeCell ref="A2:N2"/>
    <mergeCell ref="A3:N3"/>
    <mergeCell ref="A4:N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RÉSUMÉ_Régression</vt:lpstr>
      <vt:lpstr>Mylotarg</vt:lpstr>
      <vt:lpstr>Adcetris</vt:lpstr>
      <vt:lpstr>Kadcyla</vt:lpstr>
      <vt:lpstr>Besponsa</vt:lpstr>
      <vt:lpstr>Polivy</vt:lpstr>
      <vt:lpstr>Padcev</vt:lpstr>
      <vt:lpstr>Enhertu</vt:lpstr>
      <vt:lpstr>Trodelvy</vt:lpstr>
      <vt:lpstr>Blenrep</vt:lpstr>
      <vt:lpstr>Zynlonta</vt:lpstr>
      <vt:lpstr>Tivdak</vt:lpstr>
      <vt:lpstr>Elahere</vt:lpstr>
      <vt:lpstr>Datroway</vt:lpstr>
      <vt:lpstr>Teliso-V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M. M</cp:lastModifiedBy>
  <cp:revision>0</cp:revision>
  <dcterms:created xsi:type="dcterms:W3CDTF">2026-04-05T09:38:48Z</dcterms:created>
  <dcterms:modified xsi:type="dcterms:W3CDTF">2026-04-05T10:06:31Z</dcterms:modified>
  <dc:language>en-US</dc:language>
</cp:coreProperties>
</file>